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yaneshwar.kumar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9" i="1"/>
  <c r="B10" i="1"/>
  <c r="B17" i="1"/>
  <c r="B18" i="1"/>
  <c r="B21" i="1"/>
  <c r="B22" i="1"/>
  <c r="B23" i="1"/>
  <c r="B24" i="1"/>
  <c r="B41" i="1"/>
  <c r="B42" i="1"/>
  <c r="B44" i="1"/>
  <c r="B45" i="1"/>
  <c r="B46" i="1"/>
  <c r="B47" i="1"/>
  <c r="B53" i="1"/>
  <c r="B54" i="1"/>
  <c r="B69" i="1"/>
  <c r="B70" i="1"/>
  <c r="B78" i="1"/>
  <c r="B79" i="1"/>
  <c r="B83" i="1"/>
  <c r="B84" i="1"/>
  <c r="B88" i="1"/>
  <c r="B89" i="1"/>
  <c r="B90" i="1"/>
  <c r="B91" i="1"/>
  <c r="B92" i="1"/>
  <c r="B93" i="1"/>
  <c r="B94" i="1"/>
  <c r="B98" i="1"/>
  <c r="B99" i="1"/>
  <c r="B100" i="1"/>
  <c r="B101" i="1"/>
  <c r="B102" i="1"/>
  <c r="B103" i="1"/>
  <c r="B113" i="1"/>
  <c r="B114" i="1"/>
  <c r="B115" i="1"/>
  <c r="B116" i="1"/>
  <c r="B117" i="1"/>
  <c r="B118" i="1"/>
  <c r="B120" i="1"/>
  <c r="B121" i="1"/>
  <c r="B122" i="1"/>
  <c r="B124" i="1"/>
  <c r="B125" i="1"/>
  <c r="B127" i="1"/>
  <c r="B128" i="1"/>
  <c r="B129" i="1"/>
  <c r="B130" i="1"/>
  <c r="B132" i="1"/>
  <c r="B133" i="1"/>
  <c r="B135" i="1"/>
  <c r="B136" i="1"/>
  <c r="B141" i="1"/>
  <c r="B142" i="1"/>
  <c r="B143" i="1"/>
  <c r="B144" i="1"/>
  <c r="B145" i="1"/>
  <c r="B151" i="1"/>
  <c r="B152" i="1"/>
  <c r="B159" i="1"/>
  <c r="B160" i="1"/>
  <c r="B161" i="1"/>
  <c r="B162" i="1"/>
  <c r="B163" i="1"/>
  <c r="B164" i="1"/>
  <c r="B167" i="1"/>
  <c r="B175" i="1"/>
  <c r="B176" i="1"/>
  <c r="B177" i="1"/>
  <c r="B178" i="1"/>
  <c r="B180" i="1"/>
  <c r="B181" i="1"/>
  <c r="B182" i="1"/>
  <c r="B186" i="1"/>
  <c r="B187" i="1"/>
  <c r="B188" i="1"/>
  <c r="B192" i="1"/>
  <c r="B193" i="1"/>
  <c r="B194" i="1"/>
  <c r="B195" i="1"/>
  <c r="B197" i="1"/>
  <c r="B198" i="1"/>
  <c r="B203" i="1"/>
  <c r="B207" i="1"/>
  <c r="B208" i="1"/>
  <c r="B210" i="1"/>
  <c r="B211" i="1"/>
  <c r="B214" i="1"/>
  <c r="B215" i="1"/>
  <c r="B219" i="1"/>
  <c r="B220" i="1"/>
  <c r="B222" i="1"/>
  <c r="B223" i="1"/>
  <c r="B224" i="1"/>
  <c r="B225" i="1"/>
  <c r="B229" i="1"/>
  <c r="B230" i="1"/>
  <c r="B231" i="1"/>
  <c r="B232" i="1"/>
  <c r="B233" i="1"/>
  <c r="B234" i="1"/>
  <c r="B235" i="1"/>
  <c r="B236" i="1"/>
  <c r="B237" i="1"/>
  <c r="B238" i="1"/>
  <c r="B239" i="1"/>
  <c r="B242" i="1"/>
  <c r="B243" i="1"/>
  <c r="B247" i="1"/>
  <c r="B248" i="1"/>
  <c r="B253" i="1"/>
  <c r="B254" i="1"/>
  <c r="B256" i="1"/>
  <c r="B257" i="1"/>
  <c r="B260" i="1"/>
  <c r="B262" i="1"/>
  <c r="B263" i="1"/>
  <c r="B271" i="1"/>
  <c r="B272" i="1"/>
  <c r="B274" i="1"/>
  <c r="B275" i="1"/>
  <c r="B278" i="1"/>
  <c r="B279" i="1"/>
  <c r="B280" i="1"/>
  <c r="D281" i="1"/>
  <c r="B282" i="1"/>
  <c r="B284" i="1"/>
  <c r="B285" i="1"/>
  <c r="B286" i="1"/>
  <c r="B287" i="1"/>
  <c r="B290" i="1"/>
  <c r="B291" i="1"/>
  <c r="B294" i="1"/>
  <c r="B295" i="1"/>
  <c r="B297" i="1"/>
  <c r="B298" i="1"/>
  <c r="B301" i="1"/>
  <c r="B302" i="1"/>
  <c r="B304" i="1"/>
  <c r="B305" i="1"/>
  <c r="B310" i="1"/>
  <c r="B311" i="1"/>
  <c r="B315" i="1"/>
  <c r="B316" i="1"/>
  <c r="B317" i="1"/>
  <c r="B319" i="1"/>
  <c r="B320" i="1"/>
  <c r="B321" i="1"/>
  <c r="B322" i="1"/>
  <c r="B323" i="1"/>
  <c r="B324" i="1"/>
  <c r="B325" i="1"/>
  <c r="B327" i="1"/>
  <c r="B328" i="1"/>
  <c r="B330" i="1"/>
  <c r="B331" i="1"/>
  <c r="B332" i="1"/>
  <c r="B333" i="1"/>
  <c r="B336" i="1"/>
  <c r="B337" i="1"/>
  <c r="D339" i="1"/>
  <c r="B341" i="1"/>
  <c r="B343" i="1"/>
  <c r="B344" i="1"/>
  <c r="D345" i="1"/>
  <c r="B346" i="1"/>
  <c r="B347" i="1"/>
  <c r="B348" i="1"/>
  <c r="B350" i="1"/>
  <c r="B351" i="1"/>
  <c r="B352" i="1"/>
  <c r="B355" i="1"/>
  <c r="B356" i="1"/>
  <c r="B357" i="1"/>
  <c r="B358" i="1"/>
  <c r="B359" i="1"/>
  <c r="B361" i="1"/>
  <c r="B362" i="1"/>
  <c r="B363" i="1"/>
  <c r="B364" i="1"/>
  <c r="B366" i="1"/>
  <c r="B367" i="1"/>
  <c r="B369" i="1"/>
  <c r="B370" i="1"/>
  <c r="B371" i="1"/>
  <c r="B372" i="1"/>
  <c r="B373" i="1"/>
  <c r="B374" i="1"/>
  <c r="B375" i="1"/>
  <c r="B376" i="1"/>
  <c r="B377" i="1"/>
  <c r="B378" i="1"/>
  <c r="B380" i="1"/>
  <c r="B381" i="1"/>
  <c r="B382" i="1"/>
  <c r="D383" i="1"/>
  <c r="B384" i="1"/>
  <c r="B386" i="1"/>
  <c r="B387" i="1"/>
  <c r="B389" i="1"/>
  <c r="B390" i="1"/>
  <c r="B391" i="1"/>
  <c r="B392" i="1"/>
  <c r="B393" i="1"/>
  <c r="B394" i="1"/>
  <c r="B396" i="1"/>
  <c r="B397" i="1"/>
  <c r="B400" i="1"/>
  <c r="B401" i="1"/>
  <c r="B403" i="1"/>
  <c r="B405" i="1"/>
  <c r="B406" i="1"/>
  <c r="B407" i="1"/>
  <c r="B408" i="1"/>
  <c r="B409" i="1"/>
  <c r="B412" i="1"/>
  <c r="B413" i="1"/>
  <c r="B414" i="1"/>
  <c r="B415" i="1"/>
  <c r="B416" i="1"/>
  <c r="B419" i="1"/>
  <c r="B420" i="1"/>
  <c r="B421" i="1"/>
  <c r="B422" i="1"/>
  <c r="B425" i="1"/>
  <c r="B426" i="1"/>
  <c r="B427" i="1"/>
  <c r="B428" i="1"/>
  <c r="B429" i="1"/>
  <c r="B430" i="1"/>
  <c r="B435" i="1"/>
  <c r="B436" i="1"/>
  <c r="B437" i="1"/>
  <c r="B438" i="1"/>
  <c r="B440" i="1"/>
  <c r="B441" i="1"/>
  <c r="D442" i="1"/>
  <c r="B443" i="1"/>
  <c r="B444" i="1"/>
  <c r="B445" i="1"/>
  <c r="B446" i="1"/>
  <c r="B447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D463" i="1"/>
  <c r="B464" i="1"/>
  <c r="B465" i="1"/>
  <c r="B466" i="1"/>
  <c r="B467" i="1"/>
  <c r="B468" i="1"/>
  <c r="B469" i="1"/>
  <c r="B470" i="1"/>
  <c r="B471" i="1"/>
  <c r="B472" i="1"/>
  <c r="B473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6" i="1"/>
  <c r="B517" i="1"/>
  <c r="B518" i="1"/>
  <c r="B519" i="1"/>
  <c r="B520" i="1"/>
  <c r="B522" i="1"/>
  <c r="B523" i="1"/>
  <c r="B524" i="1"/>
  <c r="D525" i="1"/>
  <c r="B527" i="1"/>
  <c r="B528" i="1"/>
  <c r="B529" i="1"/>
  <c r="B530" i="1"/>
  <c r="B531" i="1"/>
  <c r="B532" i="1"/>
  <c r="B533" i="1"/>
  <c r="B534" i="1"/>
  <c r="B535" i="1"/>
  <c r="B536" i="1"/>
  <c r="B538" i="1"/>
  <c r="B539" i="1"/>
  <c r="B540" i="1"/>
  <c r="B541" i="1"/>
  <c r="B542" i="1"/>
  <c r="B543" i="1"/>
  <c r="B544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D561" i="1"/>
  <c r="B562" i="1"/>
  <c r="B563" i="1"/>
  <c r="B564" i="1"/>
  <c r="D565" i="1"/>
  <c r="B566" i="1"/>
  <c r="D567" i="1"/>
  <c r="B568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5" i="1"/>
  <c r="B586" i="1"/>
  <c r="B587" i="1"/>
  <c r="B588" i="1"/>
  <c r="B589" i="1"/>
  <c r="B590" i="1"/>
  <c r="B591" i="1"/>
  <c r="B592" i="1"/>
  <c r="B593" i="1"/>
  <c r="B594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4" i="1"/>
  <c r="B615" i="1"/>
  <c r="B616" i="1"/>
  <c r="B617" i="1"/>
  <c r="B618" i="1"/>
  <c r="B619" i="1"/>
  <c r="B621" i="1"/>
  <c r="H621" i="1"/>
  <c r="H622" i="1"/>
  <c r="H623" i="1"/>
  <c r="H624" i="1"/>
  <c r="H625" i="1"/>
  <c r="H626" i="1"/>
  <c r="H627" i="1"/>
  <c r="H628" i="1"/>
  <c r="H629" i="1"/>
  <c r="H630" i="1"/>
  <c r="B631" i="1"/>
  <c r="B632" i="1"/>
  <c r="B634" i="1"/>
  <c r="D635" i="1"/>
  <c r="D636" i="1"/>
  <c r="B637" i="1"/>
  <c r="B639" i="1"/>
  <c r="B640" i="1"/>
  <c r="B641" i="1"/>
  <c r="B642" i="1"/>
  <c r="D643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D682" i="1"/>
  <c r="B683" i="1"/>
  <c r="B684" i="1"/>
  <c r="B685" i="1"/>
  <c r="B686" i="1"/>
  <c r="B687" i="1"/>
  <c r="B688" i="1"/>
  <c r="B689" i="1"/>
  <c r="B690" i="1"/>
  <c r="B691" i="1"/>
  <c r="D692" i="1"/>
  <c r="B693" i="1"/>
  <c r="B694" i="1"/>
  <c r="B695" i="1"/>
  <c r="B696" i="1"/>
  <c r="B697" i="1"/>
  <c r="B698" i="1"/>
  <c r="B699" i="1"/>
  <c r="B700" i="1"/>
</calcChain>
</file>

<file path=xl/sharedStrings.xml><?xml version="1.0" encoding="utf-8"?>
<sst xmlns="http://schemas.openxmlformats.org/spreadsheetml/2006/main" count="3720" uniqueCount="2316">
  <si>
    <t>Rank</t>
  </si>
  <si>
    <t>University</t>
  </si>
  <si>
    <t>Location</t>
  </si>
  <si>
    <t>Score1</t>
  </si>
  <si>
    <t>Score2</t>
  </si>
  <si>
    <t>Score3</t>
  </si>
  <si>
    <t>Score4</t>
  </si>
  <si>
    <t>Massachusetts Institute of Technology (MIT)</t>
  </si>
  <si>
    <t>Cambridge, United States</t>
  </si>
  <si>
    <t>Imperial College London</t>
  </si>
  <si>
    <t>London, United Kingdom</t>
  </si>
  <si>
    <t>Stanford University</t>
  </si>
  <si>
    <t>Stanford, United States</t>
  </si>
  <si>
    <t>University of Oxford</t>
  </si>
  <si>
    <t>Oxford, United Kingdom</t>
  </si>
  <si>
    <t>Harvard University</t>
  </si>
  <si>
    <t>University of Cambridge</t>
  </si>
  <si>
    <t>Cambridge, United Kingdom</t>
  </si>
  <si>
    <t>California Institute of Technology (Caltech)</t>
  </si>
  <si>
    <t>Pasadena, United States</t>
  </si>
  <si>
    <t>ETH Zurich</t>
  </si>
  <si>
    <t>Zürich, Switzerland</t>
  </si>
  <si>
    <t>UCL</t>
  </si>
  <si>
    <t>National University of Singapore (NUS)</t>
  </si>
  <si>
    <t>Singapore, Singapore</t>
  </si>
  <si>
    <t>The University of Hong Kong</t>
  </si>
  <si>
    <t>Hong Kong, Hong Kong SAR</t>
  </si>
  <si>
    <t>Nanyang Technological University, Singapore (NTU Singapore)</t>
  </si>
  <si>
    <t>Peking University</t>
  </si>
  <si>
    <t>Beijing, China (Mainland)</t>
  </si>
  <si>
    <t>Tsinghua University</t>
  </si>
  <si>
    <t>University of Pennsylvania</t>
  </si>
  <si>
    <t>Philadelphia, United States</t>
  </si>
  <si>
    <t>Cornell University</t>
  </si>
  <si>
    <t>Ithaca, United States</t>
  </si>
  <si>
    <t>Yale University</t>
  </si>
  <si>
    <t>New Haven, United States</t>
  </si>
  <si>
    <t>The Chinese University of Hong Kong (CUHK)</t>
  </si>
  <si>
    <t>The University of New South Wales (UNSW Sydney)</t>
  </si>
  <si>
    <t>Sydney, Australia</t>
  </si>
  <si>
    <t>Johns Hopkins University</t>
  </si>
  <si>
    <t>Baltimore, United States</t>
  </si>
  <si>
    <t>University of California, Berkeley (UCB)</t>
  </si>
  <si>
    <t>Berkeley, United States</t>
  </si>
  <si>
    <t>EPFL – École polytechnique fédérale de Lausanne</t>
  </si>
  <si>
    <t>Lausanne, Switzerland</t>
  </si>
  <si>
    <t>The University of Melbourne</t>
  </si>
  <si>
    <t>Melbourne, Australia</t>
  </si>
  <si>
    <t>University of Chicago</t>
  </si>
  <si>
    <t>Chicago, United States</t>
  </si>
  <si>
    <t>Technical University of Munich</t>
  </si>
  <si>
    <t>Munich, Germany</t>
  </si>
  <si>
    <t>Fudan University</t>
  </si>
  <si>
    <t>Shanghai, China (Mainland)</t>
  </si>
  <si>
    <t>Princeton University</t>
  </si>
  <si>
    <t>Princeton, United States</t>
  </si>
  <si>
    <t>The University of Sydney</t>
  </si>
  <si>
    <t>Australian National University (ANU)</t>
  </si>
  <si>
    <t>Canberra, Australia</t>
  </si>
  <si>
    <t>McGill University</t>
  </si>
  <si>
    <t>Montreal, Canada</t>
  </si>
  <si>
    <t>Monash University</t>
  </si>
  <si>
    <t>University of Toronto</t>
  </si>
  <si>
    <t>Toronto, Canada</t>
  </si>
  <si>
    <t>The Hong Kong University of Science and Technology</t>
  </si>
  <si>
    <t>Université PSL</t>
  </si>
  <si>
    <t>Paris, France</t>
  </si>
  <si>
    <t>The University of Edinburgh</t>
  </si>
  <si>
    <t>Edinburgh, United Kingdom</t>
  </si>
  <si>
    <t>Shanghai Jiao Tong University</t>
  </si>
  <si>
    <t>King's College London</t>
  </si>
  <si>
    <t>Seoul National University</t>
  </si>
  <si>
    <t>Seoul, South Korea</t>
  </si>
  <si>
    <t>The University of Tokyo</t>
  </si>
  <si>
    <t>Tokyo, Japan</t>
  </si>
  <si>
    <t>The University of Manchester</t>
  </si>
  <si>
    <t>Manchester, United Kingdom</t>
  </si>
  <si>
    <t>The University of Queensland</t>
  </si>
  <si>
    <t>Brisbane, Australia</t>
  </si>
  <si>
    <t>Yonsei University</t>
  </si>
  <si>
    <t>Columbia University</t>
  </si>
  <si>
    <t>New York City, United States</t>
  </si>
  <si>
    <t>Institut Polytechnique de Paris</t>
  </si>
  <si>
    <t>Northwestern University</t>
  </si>
  <si>
    <t>Evanston, United States</t>
  </si>
  <si>
    <t>University of British Columbia</t>
  </si>
  <si>
    <t>Vancouver, Canada</t>
  </si>
  <si>
    <t>Zhejiang University</t>
  </si>
  <si>
    <t>Hangzhou, China (Mainland)</t>
  </si>
  <si>
    <t>Delft University of Technology</t>
  </si>
  <si>
    <t>Delft, Netherlands</t>
  </si>
  <si>
    <t>University of California, Los Angeles (UCLA)</t>
  </si>
  <si>
    <t>Los Angeles, United States</t>
  </si>
  <si>
    <t>The Hong Kong Polytechnic University</t>
  </si>
  <si>
    <t>University of Michigan-Ann Arbor</t>
  </si>
  <si>
    <t>Ann Arbor, United States</t>
  </si>
  <si>
    <t>City University of Hong Kong (CityUHK)</t>
  </si>
  <si>
    <t>Kowloon,, Hong Kong SAR</t>
  </si>
  <si>
    <t>Korea University</t>
  </si>
  <si>
    <t>National Taiwan University (NTU)</t>
  </si>
  <si>
    <t>Taipei, Taiwan</t>
  </si>
  <si>
    <t>Carnegie Mellon University</t>
  </si>
  <si>
    <t>Pittsburgh, United States</t>
  </si>
  <si>
    <t>Universiti Malaya (UM)</t>
  </si>
  <si>
    <t>Kuala Lumpur, Malaysia</t>
  </si>
  <si>
    <t>University of Bristol</t>
  </si>
  <si>
    <t>Bristol, United Kingdom</t>
  </si>
  <si>
    <t>New York University (NYU)</t>
  </si>
  <si>
    <t>KU Leuven</t>
  </si>
  <si>
    <t>Leuven, Belgium</t>
  </si>
  <si>
    <t>University of Amsterdam</t>
  </si>
  <si>
    <t>Amsterdam, Netherlands</t>
  </si>
  <si>
    <t>Ludwig-Maximilians-Universität München</t>
  </si>
  <si>
    <t>The London School of Economics and Political Science (LSE)</t>
  </si>
  <si>
    <t>KFUPM</t>
  </si>
  <si>
    <t>Dhahran, Saudi Arabia</t>
  </si>
  <si>
    <t>Kyoto University</t>
  </si>
  <si>
    <t>Kyoto, Japan</t>
  </si>
  <si>
    <t>KAIST</t>
  </si>
  <si>
    <t>Daejeon, South Korea</t>
  </si>
  <si>
    <t>Brown University</t>
  </si>
  <si>
    <t>Providence, United States</t>
  </si>
  <si>
    <t>The University of Auckland</t>
  </si>
  <si>
    <t>Auckland, New Zealand</t>
  </si>
  <si>
    <t>University of Warwick</t>
  </si>
  <si>
    <t>England, United Kingdom</t>
  </si>
  <si>
    <t>University of Birmingham</t>
  </si>
  <si>
    <t>Birmingham, United Kingdom</t>
  </si>
  <si>
    <t>Duke University</t>
  </si>
  <si>
    <t>Durham, United States</t>
  </si>
  <si>
    <t>Lund University</t>
  </si>
  <si>
    <t>Lund, Sweden</t>
  </si>
  <si>
    <t>University of Texas at Austin</t>
  </si>
  <si>
    <t>Austin, United States</t>
  </si>
  <si>
    <t>Sorbonne University</t>
  </si>
  <si>
    <t>University of Illinois Urbana-Champaign</t>
  </si>
  <si>
    <t>Champaign, United States</t>
  </si>
  <si>
    <t>Trinity College Dublin, The University of Dublin</t>
  </si>
  <si>
    <t>Dublin, Ireland</t>
  </si>
  <si>
    <t>Université Paris-Saclay</t>
  </si>
  <si>
    <t>The University of Western Australia</t>
  </si>
  <si>
    <t>Perth, Australia</t>
  </si>
  <si>
    <t>University of Leeds</t>
  </si>
  <si>
    <t>Leeds, United Kingdom</t>
  </si>
  <si>
    <t>Adelaide University</t>
  </si>
  <si>
    <t>Adelaide, Australia</t>
  </si>
  <si>
    <t>University of Glasgow</t>
  </si>
  <si>
    <t>Glasgow, United Kingdom</t>
  </si>
  <si>
    <t>University of California, San Diego (UCSD)</t>
  </si>
  <si>
    <t>San Diego, United States</t>
  </si>
  <si>
    <t>KTH Royal Institute of Technology</t>
  </si>
  <si>
    <t>Stockholm, Sweden</t>
  </si>
  <si>
    <t>The University of Sheffield</t>
  </si>
  <si>
    <t>Sheffield,, United Kingdom</t>
  </si>
  <si>
    <t>Universidad de Buenos Aires (UBA)</t>
  </si>
  <si>
    <t>Ciudad Autónoma de Bs. A., Argentina</t>
  </si>
  <si>
    <t>Durham University</t>
  </si>
  <si>
    <t>Durham, United Kingdom</t>
  </si>
  <si>
    <t>Universität Heidelberg</t>
  </si>
  <si>
    <t>69117 Heidelberg,, Germany</t>
  </si>
  <si>
    <t>Politecnico di Milano</t>
  </si>
  <si>
    <t>Milan,, Italy</t>
  </si>
  <si>
    <t>The University of Technology Sydney (UTS)</t>
  </si>
  <si>
    <t>Uppsala University</t>
  </si>
  <si>
    <t>Uppsala, Sweden</t>
  </si>
  <si>
    <t>Nanjing University</t>
  </si>
  <si>
    <t>Nanjing, China (Mainland)</t>
  </si>
  <si>
    <t>University of Copenhagen</t>
  </si>
  <si>
    <t>Copenhagen, Denmark</t>
  </si>
  <si>
    <t>Pennsylvania State University</t>
  </si>
  <si>
    <t>University Park, United States</t>
  </si>
  <si>
    <t>University of Washington</t>
  </si>
  <si>
    <t>Seattle, United States</t>
  </si>
  <si>
    <t>Boston University</t>
  </si>
  <si>
    <t>Boston, United States</t>
  </si>
  <si>
    <t>The University of Osaka</t>
  </si>
  <si>
    <t>Osaka City, Japan</t>
  </si>
  <si>
    <t>University of Alberta</t>
  </si>
  <si>
    <t>Edmonton,, Canada</t>
  </si>
  <si>
    <t>Institute of Science Tokyo</t>
  </si>
  <si>
    <t>University of Nottingham</t>
  </si>
  <si>
    <t>Nottingham, United Kingdom</t>
  </si>
  <si>
    <t>Freie Universitaet Berlin</t>
  </si>
  <si>
    <t>Berlin, Germany</t>
  </si>
  <si>
    <t>University of Zurich</t>
  </si>
  <si>
    <t>Purdue University</t>
  </si>
  <si>
    <t>West Lafayette, United States</t>
  </si>
  <si>
    <t>University College Dublin</t>
  </si>
  <si>
    <t>Tohoku University</t>
  </si>
  <si>
    <t>Sendai City, Japan</t>
  </si>
  <si>
    <t>Queen Mary University of London</t>
  </si>
  <si>
    <t>London,, United Kingdom</t>
  </si>
  <si>
    <t>RWTH Aachen University</t>
  </si>
  <si>
    <t>Aachen, Germany</t>
  </si>
  <si>
    <t>Technical University of Denmark</t>
  </si>
  <si>
    <t>Kongens Lyngby, Denmark</t>
  </si>
  <si>
    <t>Pohang University of Science And Technology (POSTECH)</t>
  </si>
  <si>
    <t>Pohang , South Korea</t>
  </si>
  <si>
    <t>King Saud University</t>
  </si>
  <si>
    <t>Riyadh, Saudi Arabia</t>
  </si>
  <si>
    <t>Sungkyunkwan University (SKKU)</t>
  </si>
  <si>
    <t>Qatar University</t>
  </si>
  <si>
    <t>Doha, Qatar</t>
  </si>
  <si>
    <t>KIT, Karlsruhe Institute of Technology</t>
  </si>
  <si>
    <t>Karlsruhe, Germany</t>
  </si>
  <si>
    <t>Sapienza University of Rome</t>
  </si>
  <si>
    <t>Rome, Italy</t>
  </si>
  <si>
    <t>University of Southampton</t>
  </si>
  <si>
    <t>Southampton, United Kingdom</t>
  </si>
  <si>
    <t>University of Waterloo</t>
  </si>
  <si>
    <t>Waterloo, Canada</t>
  </si>
  <si>
    <t>Utrecht University</t>
  </si>
  <si>
    <t>Utrecht, Netherlands</t>
  </si>
  <si>
    <t>Lomonosov Moscow State University</t>
  </si>
  <si>
    <t>Moscow, Russia</t>
  </si>
  <si>
    <t>University of St Andrews</t>
  </si>
  <si>
    <t>St. Andrews, United Kingdom</t>
  </si>
  <si>
    <t>Indian Institute of Technology Delhi (IITD)</t>
  </si>
  <si>
    <t>New Delhi, India</t>
  </si>
  <si>
    <t>Leiden University</t>
  </si>
  <si>
    <t>Leiden, Netherlands</t>
  </si>
  <si>
    <t>Pontificia Universidad Católica de Chile (UC)</t>
  </si>
  <si>
    <t>Santiago, Chile</t>
  </si>
  <si>
    <t>RMIT University</t>
  </si>
  <si>
    <t>Rice University</t>
  </si>
  <si>
    <t>Houston, United States</t>
  </si>
  <si>
    <t>Alma Mater Studiorum - Università di Bologna</t>
  </si>
  <si>
    <t>Bologna, Italy</t>
  </si>
  <si>
    <t>University of Helsinki</t>
  </si>
  <si>
    <t>Helsinki, Finland</t>
  </si>
  <si>
    <t>University of Bath</t>
  </si>
  <si>
    <t>Bath, United Kingdom</t>
  </si>
  <si>
    <t>Aalto University</t>
  </si>
  <si>
    <t>Espoo (Helsinki capital region), Finland</t>
  </si>
  <si>
    <t>Macquarie University (Sydney, Australia)</t>
  </si>
  <si>
    <t>Aarhus University</t>
  </si>
  <si>
    <t>Aarhus, Denmark</t>
  </si>
  <si>
    <t>Universiti Sains Malaysia (USM)</t>
  </si>
  <si>
    <t>Gelugor, Malaysia</t>
  </si>
  <si>
    <t>Universiti Kebangsaan Malaysia (UKM)</t>
  </si>
  <si>
    <t>Bangi, Malaysia</t>
  </si>
  <si>
    <t>University of Oslo</t>
  </si>
  <si>
    <t>Oslo, Norway</t>
  </si>
  <si>
    <t>University of Wisconsin-Madison</t>
  </si>
  <si>
    <t>Madison, United States</t>
  </si>
  <si>
    <t>Universidade de São Paulo</t>
  </si>
  <si>
    <t>São Paulo, Brazil</t>
  </si>
  <si>
    <t>Indian Institute of Technology Bombay (IITB)</t>
  </si>
  <si>
    <t>Mumbai, India</t>
  </si>
  <si>
    <t>University of Science and Technology of China</t>
  </si>
  <si>
    <t>Hefei, China (Mainland)</t>
  </si>
  <si>
    <t>University of Exeter</t>
  </si>
  <si>
    <t>Exeter, United Kingdom</t>
  </si>
  <si>
    <t>University of California, Davis</t>
  </si>
  <si>
    <t>Davis, United States</t>
  </si>
  <si>
    <t>Universiti Putra Malaysia (UPM)</t>
  </si>
  <si>
    <t>Serdang, Malaysia</t>
  </si>
  <si>
    <t>University of Liverpool</t>
  </si>
  <si>
    <t>Liverpool, United Kingdom</t>
  </si>
  <si>
    <t>Humboldt-Universität zu Berlin</t>
  </si>
  <si>
    <t>University of Vienna</t>
  </si>
  <si>
    <t>Vienna, Austria</t>
  </si>
  <si>
    <t>Georgia Institute of Technology</t>
  </si>
  <si>
    <t>Atlanta, United States</t>
  </si>
  <si>
    <t>National Tsing Hua University - NTHU</t>
  </si>
  <si>
    <t>Hsinchu City, Taiwan</t>
  </si>
  <si>
    <t>Western University</t>
  </si>
  <si>
    <t>London, Canada</t>
  </si>
  <si>
    <t>Universidad Nacional Autónoma de México (UNAM)</t>
  </si>
  <si>
    <t>Mexico City, Mexico</t>
  </si>
  <si>
    <t>Tongji University</t>
  </si>
  <si>
    <t>Khalifa University</t>
  </si>
  <si>
    <t>Abu Dhabi, United Arab Emirates</t>
  </si>
  <si>
    <t>Erasmus University Rotterdam</t>
  </si>
  <si>
    <t>Rotterdam, Netherlands</t>
  </si>
  <si>
    <t>Newcastle University</t>
  </si>
  <si>
    <t>Newcastle upon Tyne, United Kingdom</t>
  </si>
  <si>
    <t>Ghent University</t>
  </si>
  <si>
    <t>Ghent, Belgium</t>
  </si>
  <si>
    <t>University of Basel</t>
  </si>
  <si>
    <t>Basel, Switzerland</t>
  </si>
  <si>
    <t>Eindhoven University of Technology</t>
  </si>
  <si>
    <t>Eindhoven, Netherlands</t>
  </si>
  <si>
    <t>University of Southern California</t>
  </si>
  <si>
    <t>Wageningen University &amp; Research</t>
  </si>
  <si>
    <t>Wageningen, Netherlands</t>
  </si>
  <si>
    <t>Hanyang University</t>
  </si>
  <si>
    <t>Nagoya University</t>
  </si>
  <si>
    <t>Nagoya, Japan</t>
  </si>
  <si>
    <t>University of Groningen</t>
  </si>
  <si>
    <t>Groningen, Netherlands</t>
  </si>
  <si>
    <t>Technische Universität Berlin (TU Berlin)</t>
  </si>
  <si>
    <t>Universiti Teknologi Malaysia (UTM)</t>
  </si>
  <si>
    <t>Skudai, Malaysia</t>
  </si>
  <si>
    <t>University of North Carolina at Chapel Hill</t>
  </si>
  <si>
    <t>Chapel Hill, United States</t>
  </si>
  <si>
    <t>University of York</t>
  </si>
  <si>
    <t>York, United Kingdom</t>
  </si>
  <si>
    <t>Université de Montréal</t>
  </si>
  <si>
    <t>Washington University in St. Louis</t>
  </si>
  <si>
    <t>St. Louis, United States</t>
  </si>
  <si>
    <t>Lancaster University</t>
  </si>
  <si>
    <t>Lancaster,, United Kingdom</t>
  </si>
  <si>
    <t>QS Stars</t>
  </si>
  <si>
    <t>View Programmes</t>
  </si>
  <si>
    <t>Wuhan University</t>
  </si>
  <si>
    <t>Wuhan, China (Mainland)</t>
  </si>
  <si>
    <t>Stockholm University</t>
  </si>
  <si>
    <t>University of Geneva</t>
  </si>
  <si>
    <t>Geneva, Switzerland</t>
  </si>
  <si>
    <t>Texas A&amp;M University</t>
  </si>
  <si>
    <t>College Station, United States</t>
  </si>
  <si>
    <t>Indian Institute of Technology Madras (IITM)</t>
  </si>
  <si>
    <t>Chennai, India</t>
  </si>
  <si>
    <t>Kyushu University</t>
  </si>
  <si>
    <t>Fukuoka City, Japan</t>
  </si>
  <si>
    <t>Arizona State University</t>
  </si>
  <si>
    <t>Phoenix, United States</t>
  </si>
  <si>
    <t>University of California, Santa Barbara (UCSB)</t>
  </si>
  <si>
    <t>Santa Barbara, United States</t>
  </si>
  <si>
    <t>Chalmers University of Technology</t>
  </si>
  <si>
    <t>Gothenburg, Sweden</t>
  </si>
  <si>
    <t>McMaster University</t>
  </si>
  <si>
    <t>Hamilton, Canada</t>
  </si>
  <si>
    <t>Queen's University Belfast</t>
  </si>
  <si>
    <t>Belfast, United Kingdom</t>
  </si>
  <si>
    <t>Farabi University (former Al - Farabi Kazakh National University)</t>
  </si>
  <si>
    <t>Almaty, Kazakhstan</t>
  </si>
  <si>
    <t>Cardiff University</t>
  </si>
  <si>
    <t>Cardiff, United Kingdom</t>
  </si>
  <si>
    <t>Hokkaido University</t>
  </si>
  <si>
    <t>Sapporo, Japan</t>
  </si>
  <si>
    <t>Queen's University at Kingston</t>
  </si>
  <si>
    <t>Kingston, Canada</t>
  </si>
  <si>
    <t>Michigan State University</t>
  </si>
  <si>
    <t>East Lansing, United States</t>
  </si>
  <si>
    <t>Emory University</t>
  </si>
  <si>
    <t>University of Cape Town</t>
  </si>
  <si>
    <t>Cape Town, South Africa</t>
  </si>
  <si>
    <t>Technische Universität Dresden</t>
  </si>
  <si>
    <t>Dresden, Germany</t>
  </si>
  <si>
    <t>Universidad de Chile</t>
  </si>
  <si>
    <t>Vrije Universiteit Amsterdam</t>
  </si>
  <si>
    <t>Tecnológico de Monterrey</t>
  </si>
  <si>
    <t>Monterrey, Mexico</t>
  </si>
  <si>
    <t>Curtin University</t>
  </si>
  <si>
    <t>Harbin Institute of Technology</t>
  </si>
  <si>
    <t>Harbin, China (Mainland)</t>
  </si>
  <si>
    <t>National Cheng Kung University (NCKU)</t>
  </si>
  <si>
    <t>Tainan City, Taiwan</t>
  </si>
  <si>
    <t>Technische Universität Wien</t>
  </si>
  <si>
    <t>Universitas Indonesia</t>
  </si>
  <si>
    <t>Depok, Indonesia</t>
  </si>
  <si>
    <t>University of Bern</t>
  </si>
  <si>
    <t>Bern, Switzerland</t>
  </si>
  <si>
    <t>University of Wollongong</t>
  </si>
  <si>
    <t>Wollongong, Australia</t>
  </si>
  <si>
    <t>Université catholique de Louvain (UCLouvain)</t>
  </si>
  <si>
    <t>Louvain-la-Neuve, Belgium</t>
  </si>
  <si>
    <t>University of Reading</t>
  </si>
  <si>
    <t>Reading, United Kingdom</t>
  </si>
  <si>
    <t>University of Otago</t>
  </si>
  <si>
    <t>Dunedin, New Zealand</t>
  </si>
  <si>
    <t>Complutense University of Madrid</t>
  </si>
  <si>
    <t>Madrid, Spain</t>
  </si>
  <si>
    <t>Waseda University</t>
  </si>
  <si>
    <t>Loughborough University</t>
  </si>
  <si>
    <t>Loughborough, United Kingdom</t>
  </si>
  <si>
    <t>Università di Padova</t>
  </si>
  <si>
    <t>Padova, Italy</t>
  </si>
  <si>
    <t>Indian Institute of Technology Kharagpur (IIT-KGP)</t>
  </si>
  <si>
    <t>Kharagpur, India</t>
  </si>
  <si>
    <t>Gadjah Mada University</t>
  </si>
  <si>
    <t>Yogyakarta, Indonesia</t>
  </si>
  <si>
    <t>Politecnico di Torino</t>
  </si>
  <si>
    <t>Turin, Italy</t>
  </si>
  <si>
    <t>Tel Aviv University</t>
  </si>
  <si>
    <t>Tel Aviv, Israel</t>
  </si>
  <si>
    <t>Rheinische Friedrich-Wilhelms-Universität Bonn</t>
  </si>
  <si>
    <t>Bonn, Germany</t>
  </si>
  <si>
    <t>Universität Hamburg</t>
  </si>
  <si>
    <t>Hamburg, Germany</t>
  </si>
  <si>
    <t>Universitat Autònoma de Barcelona</t>
  </si>
  <si>
    <t>Barcelona, Spain</t>
  </si>
  <si>
    <t>Chulalongkorn University</t>
  </si>
  <si>
    <t>Bangkok, Thailand</t>
  </si>
  <si>
    <t>Hamad Bin Khalifa University (HBKU)</t>
  </si>
  <si>
    <t>Keio University</t>
  </si>
  <si>
    <t>Massey University</t>
  </si>
  <si>
    <t>Palmerston North, New Zealand</t>
  </si>
  <si>
    <t>Hong Kong Baptist University</t>
  </si>
  <si>
    <t>United Arab Emirates University</t>
  </si>
  <si>
    <t>Al Ain, United Arab Emirates</t>
  </si>
  <si>
    <t>Friedrich-Alexander-Universität Erlangen-Nürnberg</t>
  </si>
  <si>
    <t>Erlangen, Germany</t>
  </si>
  <si>
    <t>The Hebrew University of Jerusalem</t>
  </si>
  <si>
    <t>Jerusalem, Israel</t>
  </si>
  <si>
    <t>University College Cork</t>
  </si>
  <si>
    <t>Cork, Ireland</t>
  </si>
  <si>
    <t>Indian Institute of Science (IISc) Bangalore</t>
  </si>
  <si>
    <t>Bangalore, India</t>
  </si>
  <si>
    <t>Indian Institute of Technology Kanpur (IITK)</t>
  </si>
  <si>
    <t>Kanpur, India</t>
  </si>
  <si>
    <t>American University of Beirut (AUB)</t>
  </si>
  <si>
    <t>Beirut, Lebanon</t>
  </si>
  <si>
    <t>University of Twente</t>
  </si>
  <si>
    <t>Enschede, Netherlands</t>
  </si>
  <si>
    <t>University of Gothenburg</t>
  </si>
  <si>
    <t>Universidad Autónoma de Madrid</t>
  </si>
  <si>
    <t>Deakin University</t>
  </si>
  <si>
    <t>University of Florida</t>
  </si>
  <si>
    <t>Gainesville, United States</t>
  </si>
  <si>
    <t>University of Ottawa</t>
  </si>
  <si>
    <t>Ottawa, Canada</t>
  </si>
  <si>
    <t>Eberhard Karls Universität Tübingen</t>
  </si>
  <si>
    <t>Tübingen, Germany</t>
  </si>
  <si>
    <t>Griffith University</t>
  </si>
  <si>
    <t>Nathan, Australia</t>
  </si>
  <si>
    <t>University of Strathclyde</t>
  </si>
  <si>
    <t>Universidad de los Andes - Colombia</t>
  </si>
  <si>
    <t>Bogotá, Colombia</t>
  </si>
  <si>
    <t>University of Lausanne</t>
  </si>
  <si>
    <t>École Normale Supérieure de Lyon</t>
  </si>
  <si>
    <t>Lyon, France</t>
  </si>
  <si>
    <t>Tianjin University</t>
  </si>
  <si>
    <t>Nankai, China (Mainland)</t>
  </si>
  <si>
    <t>Beijing Normal University</t>
  </si>
  <si>
    <t>University of Lisbon</t>
  </si>
  <si>
    <t>Lisbon, Portugal</t>
  </si>
  <si>
    <t>Central European University</t>
  </si>
  <si>
    <t>Queensland University of Technology (QUT)</t>
  </si>
  <si>
    <t>La Trobe University</t>
  </si>
  <si>
    <t>Victoria University of Wellington</t>
  </si>
  <si>
    <t>Kelburn, Wellington, New Zealand</t>
  </si>
  <si>
    <t>Beijing Institute of Technology</t>
  </si>
  <si>
    <t>The University of Newcastle, Australia (UON)</t>
  </si>
  <si>
    <t>Newcastle CBD, Australia</t>
  </si>
  <si>
    <t>Albert-Ludwigs-Universitaet Freiburg</t>
  </si>
  <si>
    <t>Freiburg im Breisgau, Germany</t>
  </si>
  <si>
    <t>Université Paris 1 Panthéon-Sorbonne</t>
  </si>
  <si>
    <t>University of Surrey</t>
  </si>
  <si>
    <t>Guildford, United Kingdom</t>
  </si>
  <si>
    <t>Universite libre de Bruxelles</t>
  </si>
  <si>
    <t>Brussels, Belgium</t>
  </si>
  <si>
    <t>University of Calgary</t>
  </si>
  <si>
    <t>Calgary, Canada</t>
  </si>
  <si>
    <t>Technical University of Darmstadt</t>
  </si>
  <si>
    <t>Darmstadt, Germany</t>
  </si>
  <si>
    <t>University of Rochester</t>
  </si>
  <si>
    <t>Rochester, United States</t>
  </si>
  <si>
    <t>University of California, Irvine</t>
  </si>
  <si>
    <t>Irvine, United States</t>
  </si>
  <si>
    <t>University of Maryland, College Park</t>
  </si>
  <si>
    <t>College Park, United States</t>
  </si>
  <si>
    <t>Maastricht University</t>
  </si>
  <si>
    <t>Maastricht, Netherlands</t>
  </si>
  <si>
    <t>University of Minnesota (System)</t>
  </si>
  <si>
    <t>Minneapolis, United States</t>
  </si>
  <si>
    <t>University of Porto</t>
  </si>
  <si>
    <t>Porto, Portugal</t>
  </si>
  <si>
    <t>University of Canterbury | Te Whare Wānanga o Waitaha</t>
  </si>
  <si>
    <t>Christchurch, New Zealand</t>
  </si>
  <si>
    <t>Sun Yat-sen University</t>
  </si>
  <si>
    <t>Guangzhou, China (Mainland)</t>
  </si>
  <si>
    <t>University of Massachusetts Amherst</t>
  </si>
  <si>
    <t>Amherst, United States</t>
  </si>
  <si>
    <t>Universiti Teknologi PETRONAS (UTP)</t>
  </si>
  <si>
    <t>Seri Iskandar, Malaysia</t>
  </si>
  <si>
    <t>University of Göttingen</t>
  </si>
  <si>
    <t>Göttingen, Germany</t>
  </si>
  <si>
    <t>Universitat Pompeu Fabra (Barcelona)</t>
  </si>
  <si>
    <t>Norwegian University of Science And Technology</t>
  </si>
  <si>
    <t>Trondheim, Norway</t>
  </si>
  <si>
    <t>Vanderbilt University</t>
  </si>
  <si>
    <t>Nashville, United States</t>
  </si>
  <si>
    <t>Singapore University of Technology and Design</t>
  </si>
  <si>
    <t>University of Macau</t>
  </si>
  <si>
    <t>University of Virginia</t>
  </si>
  <si>
    <t>Charlottesville, United States</t>
  </si>
  <si>
    <t>University of Cologne</t>
  </si>
  <si>
    <t>Cologne, Germany</t>
  </si>
  <si>
    <t>Dartmouth College</t>
  </si>
  <si>
    <t>Hanover, United States</t>
  </si>
  <si>
    <t>University of Milan</t>
  </si>
  <si>
    <t>Milan, Italy</t>
  </si>
  <si>
    <t>Taylor's University</t>
  </si>
  <si>
    <t>Charles University</t>
  </si>
  <si>
    <t>Prague, Czechia</t>
  </si>
  <si>
    <t>University of Sussex</t>
  </si>
  <si>
    <t>Brighton, United Kingdom</t>
  </si>
  <si>
    <t>University of Galway</t>
  </si>
  <si>
    <t>Galway, Ireland</t>
  </si>
  <si>
    <t>Universitas Airlangga</t>
  </si>
  <si>
    <t>Surabaya, Indonesia</t>
  </si>
  <si>
    <t>Universidade Estadual de Campinas (Unicamp)</t>
  </si>
  <si>
    <t>Campinas, Brazil</t>
  </si>
  <si>
    <t>University of Antwerp</t>
  </si>
  <si>
    <t>Antwerp, Belgium</t>
  </si>
  <si>
    <t>Istanbul Technical University</t>
  </si>
  <si>
    <t>Istanbul, Türkiye</t>
  </si>
  <si>
    <t>University of Pittsburgh</t>
  </si>
  <si>
    <t>UCSI University</t>
  </si>
  <si>
    <t>Radboud University</t>
  </si>
  <si>
    <t>Nijmegen, Netherlands</t>
  </si>
  <si>
    <t>University of Bergen</t>
  </si>
  <si>
    <t>Bergen, Norway</t>
  </si>
  <si>
    <t>University of Sharjah</t>
  </si>
  <si>
    <t>Sharjah, United Arab Emirates</t>
  </si>
  <si>
    <t>University of Southern Denmark (SDU)</t>
  </si>
  <si>
    <t>Odense, Denmark</t>
  </si>
  <si>
    <t>Institut Teknologi Bandung (ITB)</t>
  </si>
  <si>
    <t>Bandung, Indonesia</t>
  </si>
  <si>
    <t>University of Aberdeen</t>
  </si>
  <si>
    <t>Aberdeen, United Kingdom</t>
  </si>
  <si>
    <t>Georgetown University</t>
  </si>
  <si>
    <t>Washington D.C., United States</t>
  </si>
  <si>
    <t>University of Warsaw</t>
  </si>
  <si>
    <t>Warsaw, Poland</t>
  </si>
  <si>
    <t>Swinburne University of Technology</t>
  </si>
  <si>
    <t>University of Johannesburg</t>
  </si>
  <si>
    <t>Johannesburg, South Africa</t>
  </si>
  <si>
    <t>Universidad Nacional de Colombia</t>
  </si>
  <si>
    <t>University of Waikato</t>
  </si>
  <si>
    <t>Hamilton , New Zealand</t>
  </si>
  <si>
    <t>Vrije Universiteit Brussel (VUB)</t>
  </si>
  <si>
    <t>Stellenbosch University</t>
  </si>
  <si>
    <t>Stellenbosch, South Africa</t>
  </si>
  <si>
    <t>Xi’an Jiaotong University</t>
  </si>
  <si>
    <t>Xi'an, China (Mainland)</t>
  </si>
  <si>
    <t>Dalhousie University</t>
  </si>
  <si>
    <t>Nova Scotia, Canada</t>
  </si>
  <si>
    <t>Ulsan National Institute of Science and Technology (UNIST)</t>
  </si>
  <si>
    <t>Ulsan, South Korea</t>
  </si>
  <si>
    <t>Sichuan University</t>
  </si>
  <si>
    <t>Chengdu, China (Mainland)</t>
  </si>
  <si>
    <t>University of Notre Dame</t>
  </si>
  <si>
    <t>Notre Dame, United States</t>
  </si>
  <si>
    <t>University of Witwatersrand</t>
  </si>
  <si>
    <t>Université Paris Cité</t>
  </si>
  <si>
    <t>Xiamen University</t>
  </si>
  <si>
    <t>Xiamen, China (Mainland)</t>
  </si>
  <si>
    <t>Middle East Technical University</t>
  </si>
  <si>
    <t>Ankara, Türkiye</t>
  </si>
  <si>
    <t>Sultan Qaboos University</t>
  </si>
  <si>
    <t>Seeb, Oman</t>
  </si>
  <si>
    <t>Huazhong University of Science and Technology</t>
  </si>
  <si>
    <t>Linköping University</t>
  </si>
  <si>
    <t>Linköping, Sweden</t>
  </si>
  <si>
    <t>Kyung Hee University</t>
  </si>
  <si>
    <t>Shandong University</t>
  </si>
  <si>
    <t>Jinan, China (Mainland)</t>
  </si>
  <si>
    <t>University of Tasmania</t>
  </si>
  <si>
    <t>Hobart, Australia</t>
  </si>
  <si>
    <t>Simon Fraser University</t>
  </si>
  <si>
    <t>Burnaby, Canada</t>
  </si>
  <si>
    <t>The University of Arizona</t>
  </si>
  <si>
    <t>Tucson, United States</t>
  </si>
  <si>
    <t>Rutgers University–New Brunswick</t>
  </si>
  <si>
    <t>New Brunswick, United States</t>
  </si>
  <si>
    <t>Universidad Carlos III de Madrid (UC3M)</t>
  </si>
  <si>
    <t>University of Leicester</t>
  </si>
  <si>
    <t>Leicester, United Kingdom</t>
  </si>
  <si>
    <t>Southern University of Science and Technology (SUSTech)</t>
  </si>
  <si>
    <t>Shenzhen, China (Mainland)</t>
  </si>
  <si>
    <t>Bauman Moscow State Technical University</t>
  </si>
  <si>
    <t>Universität Stuttgart</t>
  </si>
  <si>
    <t>Stuttgart, Germany</t>
  </si>
  <si>
    <t>North Carolina State University</t>
  </si>
  <si>
    <t>Raleigh, United States</t>
  </si>
  <si>
    <t>University of Colorado Boulder</t>
  </si>
  <si>
    <t>Boulder, United States</t>
  </si>
  <si>
    <t>Swansea University</t>
  </si>
  <si>
    <t>Swansea, United Kingdom</t>
  </si>
  <si>
    <t>University of Delhi</t>
  </si>
  <si>
    <t>York University</t>
  </si>
  <si>
    <t>Heriot-Watt University</t>
  </si>
  <si>
    <t>Case Western Reserve University</t>
  </si>
  <si>
    <t>Cleveland, United States</t>
  </si>
  <si>
    <t>University of Jordan</t>
  </si>
  <si>
    <t>Amman, Jordan</t>
  </si>
  <si>
    <t>Aalborg University</t>
  </si>
  <si>
    <t>Aalborg,, Denmark</t>
  </si>
  <si>
    <t>Jagiellonian University</t>
  </si>
  <si>
    <t>Krakow, Poland</t>
  </si>
  <si>
    <t>Koç University</t>
  </si>
  <si>
    <t>Nankai University</t>
  </si>
  <si>
    <t>Tianjin, China (Mainland)</t>
  </si>
  <si>
    <t>Universität Innsbruck</t>
  </si>
  <si>
    <t>Innsbruck, Austria</t>
  </si>
  <si>
    <t>Technion - Israel Institute of Technology</t>
  </si>
  <si>
    <t>Haifa, Israel</t>
  </si>
  <si>
    <t>Indian Institute of Technology Roorkee (IITR)</t>
  </si>
  <si>
    <t>Roorkee, India</t>
  </si>
  <si>
    <t>Southeast University</t>
  </si>
  <si>
    <t>Universidade Nova de Lisboa</t>
  </si>
  <si>
    <t>University of Miami</t>
  </si>
  <si>
    <t>Miami, United States</t>
  </si>
  <si>
    <t>University of Pisa</t>
  </si>
  <si>
    <t>Pisa, Italy</t>
  </si>
  <si>
    <t>South China University of Technology</t>
  </si>
  <si>
    <t>University of Coimbra</t>
  </si>
  <si>
    <t>Coimbra, Portugal</t>
  </si>
  <si>
    <t>Boğaziçi University</t>
  </si>
  <si>
    <t>Mahidol University</t>
  </si>
  <si>
    <t>Nakhon Pathom, Thailand</t>
  </si>
  <si>
    <t>Universiti Brunei Darussalam (UBD)</t>
  </si>
  <si>
    <t>Bandar Seri Begawan, Brunei</t>
  </si>
  <si>
    <t>Abu Dhabi University</t>
  </si>
  <si>
    <t>5+</t>
  </si>
  <si>
    <t>Beihang University (former BUAA)</t>
  </si>
  <si>
    <t>Indian Institute of Technology Guwahati (IITG)</t>
  </si>
  <si>
    <t>Guwahati, India</t>
  </si>
  <si>
    <t>Satbayev University</t>
  </si>
  <si>
    <t>Brunel University of London</t>
  </si>
  <si>
    <t>Birkbeck, University of London</t>
  </si>
  <si>
    <t>Sciences Po</t>
  </si>
  <si>
    <t>Sunway University</t>
  </si>
  <si>
    <t>Pontificia Universidad Catolica del Peru (PUCP)</t>
  </si>
  <si>
    <t>Lima, Peru</t>
  </si>
  <si>
    <t>Sabanci University</t>
  </si>
  <si>
    <t>RUDN University</t>
  </si>
  <si>
    <t>Indiana University Bloomington</t>
  </si>
  <si>
    <t>Bloomington, United States</t>
  </si>
  <si>
    <t>University of Chinese Academy of Sciences (UCAS)</t>
  </si>
  <si>
    <t>University of Oulu</t>
  </si>
  <si>
    <t>Oulu, Finland</t>
  </si>
  <si>
    <t>City St George’s, University of London</t>
  </si>
  <si>
    <t>Cairo University</t>
  </si>
  <si>
    <t>Giza, Egypt</t>
  </si>
  <si>
    <t>Universidad Politécnica de Madrid (UPM)</t>
  </si>
  <si>
    <t>Université de Liège</t>
  </si>
  <si>
    <t>Liège, Belgium</t>
  </si>
  <si>
    <t>Virginia Polytechnic Institute and State University</t>
  </si>
  <si>
    <t>Blacksburg, United States</t>
  </si>
  <si>
    <t>Universidade Federal do Rio de Janeiro</t>
  </si>
  <si>
    <t>Rio de Janeiro, Brazil</t>
  </si>
  <si>
    <t>University of Tartu</t>
  </si>
  <si>
    <t>Tartu, Estonia</t>
  </si>
  <si>
    <t>University of Tehran</t>
  </si>
  <si>
    <t>Tehran, Iran</t>
  </si>
  <si>
    <t>University of Illinois Chicago (UIC)</t>
  </si>
  <si>
    <t>University of Münster</t>
  </si>
  <si>
    <t>Munster, Germany</t>
  </si>
  <si>
    <t>University of Victoria (UVic)</t>
  </si>
  <si>
    <t>Victoria, Canada</t>
  </si>
  <si>
    <t>Western Sydney University</t>
  </si>
  <si>
    <t>Parramatta, Australia</t>
  </si>
  <si>
    <t>Flinders University</t>
  </si>
  <si>
    <t>Goethe-University Frankfurt am Main</t>
  </si>
  <si>
    <t>Frankfurt am Main, Germany</t>
  </si>
  <si>
    <t>University of Luxembourg</t>
  </si>
  <si>
    <t>Alzette, Luxembourg</t>
  </si>
  <si>
    <t>National Technical University of Athens</t>
  </si>
  <si>
    <t>Athens, Greece</t>
  </si>
  <si>
    <t>Gwangju Institute of Science and Technology (GIST)</t>
  </si>
  <si>
    <t>Gwangju, South Korea</t>
  </si>
  <si>
    <t>National Taiwan University of Science and Technology (Taiwan Tech)</t>
  </si>
  <si>
    <t>Taipei City, Taiwan</t>
  </si>
  <si>
    <t>George Washington University</t>
  </si>
  <si>
    <t>University of East Anglia (UEA)</t>
  </si>
  <si>
    <t>Norwich, United Kingdom</t>
  </si>
  <si>
    <t>Daegu Gyeongbuk Institute of Science and Technology (DGIST)</t>
  </si>
  <si>
    <t>Daegu, South Korea</t>
  </si>
  <si>
    <t>Northeastern University</t>
  </si>
  <si>
    <t>Université Grenoble Alpes</t>
  </si>
  <si>
    <t>Grenoble, France</t>
  </si>
  <si>
    <t>Università Cattolica del Sacro Cuore</t>
  </si>
  <si>
    <t>University of Limerick</t>
  </si>
  <si>
    <t>Limerick, Ireland</t>
  </si>
  <si>
    <t>LUT University</t>
  </si>
  <si>
    <t>Lappeenranta, Finland</t>
  </si>
  <si>
    <t>Saint Petersburg State University</t>
  </si>
  <si>
    <t>Saint Petersburg, Russia</t>
  </si>
  <si>
    <t>Sharif University of Technology</t>
  </si>
  <si>
    <t>The American University in Cairo</t>
  </si>
  <si>
    <t>Cairo, Egypt</t>
  </si>
  <si>
    <t>East China Normal University</t>
  </si>
  <si>
    <t>Pontificia Universidad Javeriana</t>
  </si>
  <si>
    <t>Università degli Studi di Pavia</t>
  </si>
  <si>
    <t>Pavia, Italy</t>
  </si>
  <si>
    <t>Ajman University</t>
  </si>
  <si>
    <t>Ajman, United Arab Emirates</t>
  </si>
  <si>
    <t>University of Turin</t>
  </si>
  <si>
    <t>Macau University of Science and Technology</t>
  </si>
  <si>
    <t>Macau, Macau SAR</t>
  </si>
  <si>
    <t>Sejong University</t>
  </si>
  <si>
    <t>University of California, Riverside</t>
  </si>
  <si>
    <t>Riverside, United States</t>
  </si>
  <si>
    <t>University of Turku</t>
  </si>
  <si>
    <t>Turku, Finland</t>
  </si>
  <si>
    <t>University of Naples - Federico II</t>
  </si>
  <si>
    <t>Naples, Italy</t>
  </si>
  <si>
    <t>National and Kapodistrian University of Athens</t>
  </si>
  <si>
    <t>Ruhr-Universität Bochum</t>
  </si>
  <si>
    <t>Bochum, Germany</t>
  </si>
  <si>
    <t>University of the Philippines</t>
  </si>
  <si>
    <t>Quezon City, Philippines</t>
  </si>
  <si>
    <t>INTI International University</t>
  </si>
  <si>
    <t>Nilai, Malaysia</t>
  </si>
  <si>
    <t>The Education University of Hong Kong</t>
  </si>
  <si>
    <t>Dublin City University</t>
  </si>
  <si>
    <t>University of Florence</t>
  </si>
  <si>
    <t>Florence, Italy</t>
  </si>
  <si>
    <t>Oxford Brookes University</t>
  </si>
  <si>
    <t>Singapore Management University</t>
  </si>
  <si>
    <t>University of Saskatchewan</t>
  </si>
  <si>
    <t>Saskatoon, Canada</t>
  </si>
  <si>
    <t>University of Southern Queensland</t>
  </si>
  <si>
    <t>Toowoomba, Australia</t>
  </si>
  <si>
    <t>University of Kent</t>
  </si>
  <si>
    <t>Canterbury, United Kingdom</t>
  </si>
  <si>
    <t>Shenzhen University</t>
  </si>
  <si>
    <t>University at Buffalo SUNY</t>
  </si>
  <si>
    <t>Buffalo, United States</t>
  </si>
  <si>
    <t>IPB University (aka Bogor Agricultural University)</t>
  </si>
  <si>
    <t>Bogor, Indonesia</t>
  </si>
  <si>
    <t>Lincoln University</t>
  </si>
  <si>
    <t>Lincoln, New Zealand</t>
  </si>
  <si>
    <t>Murdoch University</t>
  </si>
  <si>
    <t>Murdoch, Australia</t>
  </si>
  <si>
    <t>HSE University</t>
  </si>
  <si>
    <t>National Taiwan Normal University (NTNU)</t>
  </si>
  <si>
    <t>Northwestern Polytechnical University</t>
  </si>
  <si>
    <t>Universität Konstanz</t>
  </si>
  <si>
    <t>Konstanz, Germany</t>
  </si>
  <si>
    <t>Universität Mannheim</t>
  </si>
  <si>
    <t>Mannheim, Germany</t>
  </si>
  <si>
    <t>University of Aveiro</t>
  </si>
  <si>
    <t>Aveiro, Portugal</t>
  </si>
  <si>
    <t>Tilburg University</t>
  </si>
  <si>
    <t>Tilburg, Netherlands</t>
  </si>
  <si>
    <t>Julius-Maximilians-Universität Würzburg</t>
  </si>
  <si>
    <t>Würzburg, Germany</t>
  </si>
  <si>
    <t>Auckland University of Technology (AUT)</t>
  </si>
  <si>
    <t>Czech Technical University in Prague</t>
  </si>
  <si>
    <t>Universitat Politècnica de Catalunya - BarcelonaTech (UPC)</t>
  </si>
  <si>
    <t>Universitat Politecnica de Valencia</t>
  </si>
  <si>
    <t>València, Spain</t>
  </si>
  <si>
    <t>Central Queensland University (CQUniversity Australia)</t>
  </si>
  <si>
    <t>Norman Gardens, Australia</t>
  </si>
  <si>
    <t>Essex, University of</t>
  </si>
  <si>
    <t>Colchester, United Kingdom</t>
  </si>
  <si>
    <t>James Cook University</t>
  </si>
  <si>
    <t>Townsville, Australia</t>
  </si>
  <si>
    <t>Umea University</t>
  </si>
  <si>
    <t>Umeå, Sweden</t>
  </si>
  <si>
    <t>University of Trento</t>
  </si>
  <si>
    <t>Trento, Italy</t>
  </si>
  <si>
    <t>Aix-Marseille University</t>
  </si>
  <si>
    <t>Marseille, France</t>
  </si>
  <si>
    <t>Shanghai University</t>
  </si>
  <si>
    <t>University of Science and Technology Beijing</t>
  </si>
  <si>
    <t>IE University</t>
  </si>
  <si>
    <t>Segovia, Spain</t>
  </si>
  <si>
    <t>University of Dundee</t>
  </si>
  <si>
    <t>Dundee, United Kingdom</t>
  </si>
  <si>
    <t>University of Granada</t>
  </si>
  <si>
    <t>Granada, Spain</t>
  </si>
  <si>
    <t>Jordan University of Science &amp; Technology</t>
  </si>
  <si>
    <t>Irbid, Jordan</t>
  </si>
  <si>
    <t>Pusan National University</t>
  </si>
  <si>
    <t>Busan, South Korea</t>
  </si>
  <si>
    <t>Universitat de Valencia</t>
  </si>
  <si>
    <t>Central South University</t>
  </si>
  <si>
    <t>Changsha,, China (Mainland)</t>
  </si>
  <si>
    <t>Shoolini University of Biotechnology and Management Sciences</t>
  </si>
  <si>
    <t>Solan, India</t>
  </si>
  <si>
    <t>Bilkent University</t>
  </si>
  <si>
    <t>Masaryk University</t>
  </si>
  <si>
    <t>Brno, Czechia</t>
  </si>
  <si>
    <t>Université de Strasbourg</t>
  </si>
  <si>
    <t>Strasbourg, France</t>
  </si>
  <si>
    <t>USI - Università della Svizzera italiana</t>
  </si>
  <si>
    <t>Lugano, Switzerland</t>
  </si>
  <si>
    <t>Johannes Kepler University Linz</t>
  </si>
  <si>
    <t>Linz, Austria</t>
  </si>
  <si>
    <t>SOAS University of London</t>
  </si>
  <si>
    <t>Tashkent Institute of Irrigation and Agricultural Mechanization Engineers - National Research University (TIIAME-NRU)</t>
  </si>
  <si>
    <t>Tashkent, Uzbekistan</t>
  </si>
  <si>
    <t>University of Connecticut</t>
  </si>
  <si>
    <t>Storrs, United States</t>
  </si>
  <si>
    <t>Dalian University of Technology</t>
  </si>
  <si>
    <t>Dalian, China (Mainland)</t>
  </si>
  <si>
    <t>Universidad de Costa Rica</t>
  </si>
  <si>
    <t>San Jose, Costa Rica</t>
  </si>
  <si>
    <t>Chongqing University</t>
  </si>
  <si>
    <t>Chongqing, China (Mainland)</t>
  </si>
  <si>
    <t>Università Vita-Salute San Raffaele</t>
  </si>
  <si>
    <t>Vilnius University</t>
  </si>
  <si>
    <t>Vilnius, Lithuania</t>
  </si>
  <si>
    <t>Kazan (Volga region) Federal University</t>
  </si>
  <si>
    <t>Kazan, Russia</t>
  </si>
  <si>
    <t>Stony Brook University, State University of New York</t>
  </si>
  <si>
    <t>Stony Brook, United States</t>
  </si>
  <si>
    <t>Anna University</t>
  </si>
  <si>
    <t>Leibniz University Hannover</t>
  </si>
  <si>
    <t>Hanover, Germany</t>
  </si>
  <si>
    <t>University of Bayreuth</t>
  </si>
  <si>
    <t>Bayreuth, Germany</t>
  </si>
  <si>
    <t>Université de Montpellier</t>
  </si>
  <si>
    <t>Montpellier, France</t>
  </si>
  <si>
    <t>Imam Abdulrahman Bin Faisal University (IAU)</t>
  </si>
  <si>
    <t>Dammam, Saudi Arabia</t>
  </si>
  <si>
    <t>Universidad Nacional de La Plata (UNLP)</t>
  </si>
  <si>
    <t>La Plata, Argentina</t>
  </si>
  <si>
    <t>Universitat Ramon Llull</t>
  </si>
  <si>
    <t>China Agricultural University</t>
  </si>
  <si>
    <t>Hunan University</t>
  </si>
  <si>
    <t>Changsha, China (Mainland)</t>
  </si>
  <si>
    <t>Lebanese American University</t>
  </si>
  <si>
    <t>University of Canberra</t>
  </si>
  <si>
    <t>Bruce, Australia</t>
  </si>
  <si>
    <t>Hiroshima University</t>
  </si>
  <si>
    <t>Higashihiroshima City, Japan</t>
  </si>
  <si>
    <t>Kyungpook National University</t>
  </si>
  <si>
    <t>Amirkabir University of Technology</t>
  </si>
  <si>
    <t>Jinan University (China)</t>
  </si>
  <si>
    <t>Royal Holloway, University of London</t>
  </si>
  <si>
    <t>Universidad de Sevilla</t>
  </si>
  <si>
    <t>Seville, Spain</t>
  </si>
  <si>
    <t>University of Bordeaux</t>
  </si>
  <si>
    <t>Talence, France</t>
  </si>
  <si>
    <t>Ewha Womans University</t>
  </si>
  <si>
    <t>Jilin University</t>
  </si>
  <si>
    <t>Changchun, China (Mainland)</t>
  </si>
  <si>
    <t>Novosibirsk State University</t>
  </si>
  <si>
    <t>Novosibirsk , Russia</t>
  </si>
  <si>
    <t>Prince Sultan University</t>
  </si>
  <si>
    <t>University of Electronic Science and Technology of China</t>
  </si>
  <si>
    <t>National Taipei University of Technology</t>
  </si>
  <si>
    <t>Sogang University</t>
  </si>
  <si>
    <t>Universitas Padjadjaran (UNPAD)</t>
  </si>
  <si>
    <t>Concordia University</t>
  </si>
  <si>
    <t>Institut Teknologi Sepuluh Nopember (ITS Surabaya)</t>
  </si>
  <si>
    <t>University of Bradford</t>
  </si>
  <si>
    <t>Bradford, United Kingdom</t>
  </si>
  <si>
    <t>Johannes Gutenberg Universität Mainz</t>
  </si>
  <si>
    <t>Mainz, Germany</t>
  </si>
  <si>
    <t>Universität Potsdam</t>
  </si>
  <si>
    <t>Potsdam, Germany</t>
  </si>
  <si>
    <t>Aristotle University of Thessaloniki</t>
  </si>
  <si>
    <t>Thessaloniki, Greece</t>
  </si>
  <si>
    <t>University of Genoa</t>
  </si>
  <si>
    <t>Genoa, Italy</t>
  </si>
  <si>
    <t>Duy Tan University</t>
  </si>
  <si>
    <t>Da Nang, Vietnam</t>
  </si>
  <si>
    <t>Iran University of Science and Technology</t>
  </si>
  <si>
    <t>Kobe University</t>
  </si>
  <si>
    <t>Kobe City, Japan</t>
  </si>
  <si>
    <t>Moscow Institute of Physics and Technology (MIPT / Moscow Phystech)</t>
  </si>
  <si>
    <t>Dolgoprudny, Russia</t>
  </si>
  <si>
    <t>Ural Federal University - UrFU</t>
  </si>
  <si>
    <t>Ekaterinburg, Russia</t>
  </si>
  <si>
    <t>Warsaw University of Technology</t>
  </si>
  <si>
    <t>Indian Institute of Technology BHU Varanasi (IIT BHU Varanasi)</t>
  </si>
  <si>
    <t>Varanasi, India</t>
  </si>
  <si>
    <t>Tomsk State University</t>
  </si>
  <si>
    <t>Tomsk, Russia</t>
  </si>
  <si>
    <t>Washington State University</t>
  </si>
  <si>
    <t>Pullman, United States</t>
  </si>
  <si>
    <t>UNESP</t>
  </si>
  <si>
    <t>Sao Paulo, Brazil</t>
  </si>
  <si>
    <t>King Khalid University</t>
  </si>
  <si>
    <t>Abha, Saudi Arabia</t>
  </si>
  <si>
    <t>China Medical University</t>
  </si>
  <si>
    <t>Taichung, Taiwan</t>
  </si>
  <si>
    <t>Conservatoire National des Arts et Métiers (CNAM)</t>
  </si>
  <si>
    <t>University of Kansas</t>
  </si>
  <si>
    <t>Lawrence, United States</t>
  </si>
  <si>
    <t>Bond University</t>
  </si>
  <si>
    <t>Gold Coast, Australia</t>
  </si>
  <si>
    <t>Universiti Tenaga Nasional (UNITEN)</t>
  </si>
  <si>
    <t>Kajang, Malaysia</t>
  </si>
  <si>
    <t>Dongguk University</t>
  </si>
  <si>
    <t>Justus-Liebig-University Giessen</t>
  </si>
  <si>
    <t>Giessen, Germany</t>
  </si>
  <si>
    <t>Renmin (People's) University of China</t>
  </si>
  <si>
    <t>University of Huddersfield</t>
  </si>
  <si>
    <t>Huddersfield, United Kingdom</t>
  </si>
  <si>
    <t>University of Cyprus (UCY)</t>
  </si>
  <si>
    <t>Nicosia, Cyprus</t>
  </si>
  <si>
    <t>Chandigarh University (Punjab)</t>
  </si>
  <si>
    <t>Mohali, India</t>
  </si>
  <si>
    <t>Université Laval</t>
  </si>
  <si>
    <t>Québec, Canada</t>
  </si>
  <si>
    <t>Asia Pacific University of Technology and Innovation (APU) Malaysia</t>
  </si>
  <si>
    <t>Northumbria University at Newcastle</t>
  </si>
  <si>
    <t>Pontificia Universidad Católica Argentina</t>
  </si>
  <si>
    <t>Buenos Aires, Argentina</t>
  </si>
  <si>
    <t>Universidad Austral</t>
  </si>
  <si>
    <t>Pilar, Argentina</t>
  </si>
  <si>
    <t>University of Ljubljana</t>
  </si>
  <si>
    <t>Ljubljana, Slovenia</t>
  </si>
  <si>
    <t>Belarusian State University</t>
  </si>
  <si>
    <t>Minsk, Belarus</t>
  </si>
  <si>
    <t>Ben-Gurion University of The Negev</t>
  </si>
  <si>
    <t>Be'er Sheva, Israel</t>
  </si>
  <si>
    <t>University of Utah</t>
  </si>
  <si>
    <t>Salt Lake City, United States</t>
  </si>
  <si>
    <t>The University of Georgia</t>
  </si>
  <si>
    <t>Athens, United States</t>
  </si>
  <si>
    <t>Saint Joseph University of Beirut (USJ)</t>
  </si>
  <si>
    <t>University of Iceland</t>
  </si>
  <si>
    <t>Reykjavík, Iceland</t>
  </si>
  <si>
    <t>University of Windsor</t>
  </si>
  <si>
    <t>Windsor, Canada</t>
  </si>
  <si>
    <t>Colorado State University</t>
  </si>
  <si>
    <t>Fort Collins, United States</t>
  </si>
  <si>
    <t>Iowa State University</t>
  </si>
  <si>
    <t>Ames, United States</t>
  </si>
  <si>
    <t>Universität Leipzig</t>
  </si>
  <si>
    <t>Leipzig, Germany</t>
  </si>
  <si>
    <t>Universiti Utara Malaysia (UUM)</t>
  </si>
  <si>
    <t>Sintok, Malaysia</t>
  </si>
  <si>
    <t>University of Milano-Bicocca</t>
  </si>
  <si>
    <t>Edith Cowan University</t>
  </si>
  <si>
    <t>Joondalup, Australia</t>
  </si>
  <si>
    <t>Florida State University</t>
  </si>
  <si>
    <t>Tallahassee, United States</t>
  </si>
  <si>
    <t>Indian Institute of Technology Indore</t>
  </si>
  <si>
    <t>Indore, India</t>
  </si>
  <si>
    <t>University of Guelph</t>
  </si>
  <si>
    <t>Guelph, Canada</t>
  </si>
  <si>
    <t>Boston College</t>
  </si>
  <si>
    <t>Chestnut Hill, United States</t>
  </si>
  <si>
    <t>Universiti Teknologi MARA - UiTM</t>
  </si>
  <si>
    <t>Shah Alam, Malaysia</t>
  </si>
  <si>
    <t>Ain Shams University in Cairo (ASU, Cairo)</t>
  </si>
  <si>
    <t>Charles Darwin University</t>
  </si>
  <si>
    <t>Casuarina, Australia</t>
  </si>
  <si>
    <t>Universidad de Santiago de Chile (USACH)</t>
  </si>
  <si>
    <t>University of Houston</t>
  </si>
  <si>
    <t>Chiang Mai University</t>
  </si>
  <si>
    <t>Chiang Mai, Thailand</t>
  </si>
  <si>
    <t>Inha University</t>
  </si>
  <si>
    <t>Incheon, South Korea</t>
  </si>
  <si>
    <t>Jawaharlal Nehru University</t>
  </si>
  <si>
    <t>Thammasat University</t>
  </si>
  <si>
    <t>Al Ain University</t>
  </si>
  <si>
    <t>Al Ain,, United Arab Emirates</t>
  </si>
  <si>
    <t>University of Manitoba</t>
  </si>
  <si>
    <t>Winnipeg, Canada</t>
  </si>
  <si>
    <t>University of Salamanca</t>
  </si>
  <si>
    <t>Salamanca, Spain</t>
  </si>
  <si>
    <t>University of Stirling</t>
  </si>
  <si>
    <t>Stirling, United Kingdom</t>
  </si>
  <si>
    <t>Baku State University</t>
  </si>
  <si>
    <t>Baku, Azerbaijan</t>
  </si>
  <si>
    <t>Bangor University</t>
  </si>
  <si>
    <t>Bangor, United Kingdom</t>
  </si>
  <si>
    <t>Universität Jena</t>
  </si>
  <si>
    <t>Jena, Germany</t>
  </si>
  <si>
    <t>Ajou University</t>
  </si>
  <si>
    <t>Suwon, South Korea</t>
  </si>
  <si>
    <t>Hacettepe University</t>
  </si>
  <si>
    <t>Paris Lodron University of Salzburg</t>
  </si>
  <si>
    <t>Salzburg , Austria</t>
  </si>
  <si>
    <t>University of Minho</t>
  </si>
  <si>
    <t>Braga, Portugal</t>
  </si>
  <si>
    <t>University of Siena</t>
  </si>
  <si>
    <t>Siena, Italy</t>
  </si>
  <si>
    <t>Birla Institute of Technology and Science, Pilani</t>
  </si>
  <si>
    <t>Pilani, India</t>
  </si>
  <si>
    <t>Colorado School of Mines</t>
  </si>
  <si>
    <t>Golden, United States</t>
  </si>
  <si>
    <t>Hitotsubashi University</t>
  </si>
  <si>
    <t>Ulm University</t>
  </si>
  <si>
    <t>Ulm, Germany</t>
  </si>
  <si>
    <t>University of Delaware</t>
  </si>
  <si>
    <t>Newark, United States</t>
  </si>
  <si>
    <t>University of Hull</t>
  </si>
  <si>
    <t>Hull, United Kingdom</t>
  </si>
  <si>
    <t>Ateneo de Manila University</t>
  </si>
  <si>
    <t>Coventry University</t>
  </si>
  <si>
    <t>Coventry, United Kingdom</t>
  </si>
  <si>
    <t>Rensselaer Polytechnic Institute</t>
  </si>
  <si>
    <t>Troy, United States</t>
  </si>
  <si>
    <t>Universität Bremen</t>
  </si>
  <si>
    <t>Bremen, Germany</t>
  </si>
  <si>
    <t>University of Brescia</t>
  </si>
  <si>
    <t>Brescia, Italy</t>
  </si>
  <si>
    <t>Zhengzhou University</t>
  </si>
  <si>
    <t>Zhengzhou, China (Mainland)</t>
  </si>
  <si>
    <t>Brno University of Technology</t>
  </si>
  <si>
    <t>Indian Institute of Technology Hyderabad (IITH)</t>
  </si>
  <si>
    <t>Sangareddy, India</t>
  </si>
  <si>
    <t>Saarland University</t>
  </si>
  <si>
    <t>Saarbrücken, Germany</t>
  </si>
  <si>
    <t>Universiti Malaysia Pahang Al-Sultan Abdullah (UMPSA)</t>
  </si>
  <si>
    <t>Pekan, Malaysia</t>
  </si>
  <si>
    <t>University of the Punjab</t>
  </si>
  <si>
    <t>Lahore, Pakistan</t>
  </si>
  <si>
    <t>Zayed University</t>
  </si>
  <si>
    <t>Abu Dhabi,, United Arab Emirates</t>
  </si>
  <si>
    <t>Technische Universität Bergakademie Freiberg</t>
  </si>
  <si>
    <t>Freiberg, Germany</t>
  </si>
  <si>
    <t>Eötvös Loránd University</t>
  </si>
  <si>
    <t>Budapest, Hungary</t>
  </si>
  <si>
    <t>Ulster University</t>
  </si>
  <si>
    <t>Tulane University</t>
  </si>
  <si>
    <t>New Orleans, United States</t>
  </si>
  <si>
    <t>University of Iowa</t>
  </si>
  <si>
    <t>Iowa City, United States</t>
  </si>
  <si>
    <t>Vellore Institute of Technology (VIT), Vellore, India</t>
  </si>
  <si>
    <t>Vellore, India</t>
  </si>
  <si>
    <t>Ca' Foscari University of Venice</t>
  </si>
  <si>
    <t>Venice, Italy</t>
  </si>
  <si>
    <t>China University of Petroleum, Beijing</t>
  </si>
  <si>
    <t>Federal University of Minas Gerais (UFMG)</t>
  </si>
  <si>
    <t>Belo Horizonte, Brazil</t>
  </si>
  <si>
    <t>Manchester Metropolitan University</t>
  </si>
  <si>
    <t>Tallinn University of Technology (TalTech)</t>
  </si>
  <si>
    <t>Tallinn, Estonia</t>
  </si>
  <si>
    <t>University of Debrecen</t>
  </si>
  <si>
    <t>Debrecen, Hungary</t>
  </si>
  <si>
    <t>University of Dhaka</t>
  </si>
  <si>
    <t>Dhaka, Bangladesh</t>
  </si>
  <si>
    <t>University of Kwazulu-Natal</t>
  </si>
  <si>
    <t>Durban, South Africa</t>
  </si>
  <si>
    <t>American University of Ras Al Khaimah</t>
  </si>
  <si>
    <t>Ras Al Khaima, United Arab Emirates</t>
  </si>
  <si>
    <t>Free University of Bozen-Bolzano</t>
  </si>
  <si>
    <t>Bolzano, Italy</t>
  </si>
  <si>
    <t>Lahore University of Management Sciences (LUMS)</t>
  </si>
  <si>
    <t>Management and Science University</t>
  </si>
  <si>
    <t>National Chengchi University</t>
  </si>
  <si>
    <t>Université Claude Bernard Lyon 1</t>
  </si>
  <si>
    <t>Villeurbanne, France</t>
  </si>
  <si>
    <t>Universiti Teknologi Brunei</t>
  </si>
  <si>
    <t>American University of the Middle East</t>
  </si>
  <si>
    <t>Egaila, Kuwait</t>
  </si>
  <si>
    <t>Canadian University Dubai</t>
  </si>
  <si>
    <t>Universitas Brawijaya</t>
  </si>
  <si>
    <t>Malang, Indonesia</t>
  </si>
  <si>
    <t>Peter the Great St. Petersburg Polytechnic University</t>
  </si>
  <si>
    <t>St. Petersburg, Russia</t>
  </si>
  <si>
    <t>American University in Dubai</t>
  </si>
  <si>
    <t>Christian-Albrechts-University zu Kiel</t>
  </si>
  <si>
    <t>Kiel, Germany</t>
  </si>
  <si>
    <t>HUFS - Hankuk (Korea) University of Foreign Studies</t>
  </si>
  <si>
    <t>Illinois Institute of Technology</t>
  </si>
  <si>
    <t>Isfahan University of Technology</t>
  </si>
  <si>
    <t>Isfahan, Iran</t>
  </si>
  <si>
    <t>Pontifícia Universidade Católica do Rio de Janeiro</t>
  </si>
  <si>
    <t>Lebanese University</t>
  </si>
  <si>
    <t>National Research Nuclear University MEPhI (Moscow Engineering Physics Institute)</t>
  </si>
  <si>
    <t>University of Eastern Finland</t>
  </si>
  <si>
    <t>Kuopio, Finland</t>
  </si>
  <si>
    <t>Istanbul University</t>
  </si>
  <si>
    <t>University of Agriculture, Faisalabad</t>
  </si>
  <si>
    <t>Faisalabad, Pakistan</t>
  </si>
  <si>
    <t>University of Tromsø The Arctic University of Norway</t>
  </si>
  <si>
    <t>Tromsø, Norway</t>
  </si>
  <si>
    <t>University of Szeged</t>
  </si>
  <si>
    <t>Szeged, Hungary</t>
  </si>
  <si>
    <t>Abai Kazakh National Pedagogical University (Abai University)</t>
  </si>
  <si>
    <t>Southern Cross University</t>
  </si>
  <si>
    <t>Lismore, Australia</t>
  </si>
  <si>
    <t>COMSATS University Islamabad</t>
  </si>
  <si>
    <t>Islamabad, Pakistan</t>
  </si>
  <si>
    <t>Hasselt University</t>
  </si>
  <si>
    <t>Diepenbeek, Belgium</t>
  </si>
  <si>
    <t>MGIMO University</t>
  </si>
  <si>
    <t>Nottingham Trent University</t>
  </si>
  <si>
    <t>University of Hawaiʻi at Mānoa</t>
  </si>
  <si>
    <t>Honolulu, United States</t>
  </si>
  <si>
    <t>American University</t>
  </si>
  <si>
    <t>Institut National Polytechnique de Toulouse</t>
  </si>
  <si>
    <t>Toulouse, France</t>
  </si>
  <si>
    <t>Otto-von-Guericke-Universität Magdeburg</t>
  </si>
  <si>
    <t>Magdeburg, Germany</t>
  </si>
  <si>
    <t>Asia University Taiwan</t>
  </si>
  <si>
    <t>Taichung City, Taiwan</t>
  </si>
  <si>
    <t>Beijing University of Chemical Technology</t>
  </si>
  <si>
    <t>University of Crete</t>
  </si>
  <si>
    <t>Heraklion, Greece</t>
  </si>
  <si>
    <t>The Catholic University of Korea (CUK)</t>
  </si>
  <si>
    <t>Gyeonggi, South Korea</t>
  </si>
  <si>
    <t>Universidad de la República (Udelar)</t>
  </si>
  <si>
    <t>Montevideo, Uruguay</t>
  </si>
  <si>
    <t>University of Chemistry and Technology, Prague</t>
  </si>
  <si>
    <t>Applied Science University - Bahrain</t>
  </si>
  <si>
    <t>Al-Ekir, Bahrain</t>
  </si>
  <si>
    <t>Symbiosis International (Deemed University)</t>
  </si>
  <si>
    <t>Pune, India</t>
  </si>
  <si>
    <t>Universidad Adolfo Ibáñez</t>
  </si>
  <si>
    <t>Université de Tunis El Manar</t>
  </si>
  <si>
    <t>Tunis, Tunisia</t>
  </si>
  <si>
    <t>China University of Mining and Technology</t>
  </si>
  <si>
    <t>Xuzhou, China (Mainland)</t>
  </si>
  <si>
    <t>Florida International University</t>
  </si>
  <si>
    <t>National Central University</t>
  </si>
  <si>
    <t>Taoyuan, Taiwan</t>
  </si>
  <si>
    <t>Chang Gung University</t>
  </si>
  <si>
    <t>Taoyuan City, Taiwan</t>
  </si>
  <si>
    <t>Comenius University Bratislava</t>
  </si>
  <si>
    <t>Bratislava, Slovakia</t>
  </si>
  <si>
    <t>Diponegoro University</t>
  </si>
  <si>
    <t>Semarang, Indonesia</t>
  </si>
  <si>
    <t>Universidad de Concepción</t>
  </si>
  <si>
    <t>Concepcion, Chile</t>
  </si>
  <si>
    <t>Universita' Politecnica delle Marche</t>
  </si>
  <si>
    <t>Ancona, Italy</t>
  </si>
  <si>
    <t>University of Portsmouth</t>
  </si>
  <si>
    <t>Portsmouth, United Kingdom</t>
  </si>
  <si>
    <t>Toronto Metropolitan University (formerly Ryerson University)</t>
  </si>
  <si>
    <t>Abo Akademi University</t>
  </si>
  <si>
    <t>Beirut Arab University</t>
  </si>
  <si>
    <t>East China University of Science and Technology</t>
  </si>
  <si>
    <t>Lehigh University</t>
  </si>
  <si>
    <t>Bethlehem, United States</t>
  </si>
  <si>
    <t>University of Fribourg</t>
  </si>
  <si>
    <t>Fribourg, Switzerland</t>
  </si>
  <si>
    <t>Nanjing University of Science and Technology</t>
  </si>
  <si>
    <t>Stevens Institute of Technology</t>
  </si>
  <si>
    <t>Hoboken, United States</t>
  </si>
  <si>
    <t>China University of Geosciences</t>
  </si>
  <si>
    <t>City University of New York</t>
  </si>
  <si>
    <t>Jeonbuk National University</t>
  </si>
  <si>
    <t>Jeonju, South Korea</t>
  </si>
  <si>
    <t>Prince Sattam Bin Abdulaziz University</t>
  </si>
  <si>
    <t>Al-Kharj, Saudi Arabia</t>
  </si>
  <si>
    <t>University of New Brunswick</t>
  </si>
  <si>
    <t>Fredericton, Canada</t>
  </si>
  <si>
    <t>Konkuk University</t>
  </si>
  <si>
    <t>Ritsumeikan University</t>
  </si>
  <si>
    <t>University of Klagenfurt</t>
  </si>
  <si>
    <t>Klagenfurt, Austria</t>
  </si>
  <si>
    <t>Jamia Millia Islamia</t>
  </si>
  <si>
    <t>Kingston University, London</t>
  </si>
  <si>
    <t>Kingston upon Thames, United Kingdom</t>
  </si>
  <si>
    <t>Université de Lille</t>
  </si>
  <si>
    <t>Lille, France</t>
  </si>
  <si>
    <t>University of Tabriz</t>
  </si>
  <si>
    <t>Tabriz, Iran</t>
  </si>
  <si>
    <t>University of Texas at Dallas</t>
  </si>
  <si>
    <t>Richardson, United States</t>
  </si>
  <si>
    <t>Eastern Mediterranean University</t>
  </si>
  <si>
    <t>Famagusta, Northern Cyprus</t>
  </si>
  <si>
    <t>International Islamic University Malaysia (IIUM)</t>
  </si>
  <si>
    <t>TU Dortmund University</t>
  </si>
  <si>
    <t>Dortmund, Germany</t>
  </si>
  <si>
    <t>University of Plymouth</t>
  </si>
  <si>
    <t>Plymouth, United Kingdom</t>
  </si>
  <si>
    <t>Karl-Franzens-Universität Graz</t>
  </si>
  <si>
    <t>Graz, Austria</t>
  </si>
  <si>
    <t>Kaunas University of Technology</t>
  </si>
  <si>
    <t>Kaunas, Lithuania</t>
  </si>
  <si>
    <t>Universität Regensburg</t>
  </si>
  <si>
    <t>Regensburg, Germany</t>
  </si>
  <si>
    <t>University of Malta</t>
  </si>
  <si>
    <t>Msida, Malta</t>
  </si>
  <si>
    <t>Victoria University</t>
  </si>
  <si>
    <t>Footscray, Australia</t>
  </si>
  <si>
    <t>701-710</t>
  </si>
  <si>
    <t>Cyprus University of Technology</t>
  </si>
  <si>
    <t>Limassol, Cyprus</t>
  </si>
  <si>
    <t>Goldsmiths, University of London</t>
  </si>
  <si>
    <t>Indian Institute of Technology (Indian School of Mines), Dhanbad</t>
  </si>
  <si>
    <t>Dhanbad , India</t>
  </si>
  <si>
    <t>Jiangsu University</t>
  </si>
  <si>
    <t>Zhenjiang, China (Mainland)</t>
  </si>
  <si>
    <t>Lincoln University College</t>
  </si>
  <si>
    <t>SEGi UNIVERSITY</t>
  </si>
  <si>
    <t>Thapar Institute of Engineering &amp; Technology</t>
  </si>
  <si>
    <t>Patiala, India</t>
  </si>
  <si>
    <t>The University of Tennessee, Knoxville</t>
  </si>
  <si>
    <t>Knoxville, United States</t>
  </si>
  <si>
    <t>Universidad de Zaragoza</t>
  </si>
  <si>
    <t>Zaragoza, Spain</t>
  </si>
  <si>
    <t>Universiti Malaysia Terengganu (UMT)</t>
  </si>
  <si>
    <t>Kuala Terengganu, Malaysia</t>
  </si>
  <si>
    <t>711-720</t>
  </si>
  <si>
    <t>Ahlia University</t>
  </si>
  <si>
    <t>Manama, Bahrain</t>
  </si>
  <si>
    <t>Azerbaijan State Oil and Industry University</t>
  </si>
  <si>
    <t>Bar-Ilan University</t>
  </si>
  <si>
    <t>Ramat Gan, Israel</t>
  </si>
  <si>
    <t>Bharathiar University</t>
  </si>
  <si>
    <t>Coimbatore, India</t>
  </si>
  <si>
    <t>Oregon State University</t>
  </si>
  <si>
    <t>Corvallis, United States</t>
  </si>
  <si>
    <t>Palacký University Olomouc</t>
  </si>
  <si>
    <t>Olomouc,, Czechia</t>
  </si>
  <si>
    <t>Soochow University</t>
  </si>
  <si>
    <t>Suzhou, China (Mainland)</t>
  </si>
  <si>
    <t>Universidad Panamericana (UP)</t>
  </si>
  <si>
    <t>University of Nicosia</t>
  </si>
  <si>
    <t>University of Oregon</t>
  </si>
  <si>
    <t>Eugene, United States</t>
  </si>
  <si>
    <t>University of South Carolina</t>
  </si>
  <si>
    <t>Columbia, United States</t>
  </si>
  <si>
    <t>721-730</t>
  </si>
  <si>
    <t>Jadavpur University</t>
  </si>
  <si>
    <t>Kolkata, India</t>
  </si>
  <si>
    <t>Kasetsart University</t>
  </si>
  <si>
    <t>Lanzhou University</t>
  </si>
  <si>
    <t>Lanzhou, China (Mainland)</t>
  </si>
  <si>
    <t>Maynooth University</t>
  </si>
  <si>
    <t>Maynooth, Ireland</t>
  </si>
  <si>
    <t>Memorial University of Newfoundland</t>
  </si>
  <si>
    <t>St. John's, Canada</t>
  </si>
  <si>
    <t>Nanjing University of Aeronautics and Astronautics</t>
  </si>
  <si>
    <t>National Institute of Technology, Tiruchirappalli</t>
  </si>
  <si>
    <t>Tiruchirappalli, India</t>
  </si>
  <si>
    <t>Plekhanov Russian University of Economics</t>
  </si>
  <si>
    <t>TUHH Hamburg University of Technology</t>
  </si>
  <si>
    <t>University of Missouri, Columbia</t>
  </si>
  <si>
    <t>University of Zagreb</t>
  </si>
  <si>
    <t>Zagreb, Croatia</t>
  </si>
  <si>
    <t>731-740</t>
  </si>
  <si>
    <t>Adam Mickiewicz University, Poznań</t>
  </si>
  <si>
    <t>Poznań, Poland</t>
  </si>
  <si>
    <t>Ankara Üniversitesi</t>
  </si>
  <si>
    <t>Beijing Forestry University</t>
  </si>
  <si>
    <t>Beijing University of Technology</t>
  </si>
  <si>
    <t>Czech University of Life Sciences in Prague</t>
  </si>
  <si>
    <t>Prague,, Czechia</t>
  </si>
  <si>
    <t>Northwest Agriculture and Forestry University</t>
  </si>
  <si>
    <t>Yangling, China (Mainland)</t>
  </si>
  <si>
    <t>Syracuse University</t>
  </si>
  <si>
    <t>Syracuse, United States</t>
  </si>
  <si>
    <t>Universidad de Alcalá (Madrid)</t>
  </si>
  <si>
    <t>Madrid., Spain</t>
  </si>
  <si>
    <t>Université de Rennes</t>
  </si>
  <si>
    <t>Rennes, France</t>
  </si>
  <si>
    <t>University of Central Florida</t>
  </si>
  <si>
    <t>Orlando, United States</t>
  </si>
  <si>
    <t>741-750</t>
  </si>
  <si>
    <t>Far Eastern Federal University</t>
  </si>
  <si>
    <t>Vladivostok, Russia</t>
  </si>
  <si>
    <t>National Research Tomsk Polytechnic University</t>
  </si>
  <si>
    <t>New Jersey Institute of Technology (NJIT)</t>
  </si>
  <si>
    <t>Umm Al-Qura University</t>
  </si>
  <si>
    <t>Makkah, Saudi Arabia</t>
  </si>
  <si>
    <t>Universidade Federal do Rio Grande Do Sul</t>
  </si>
  <si>
    <t>Porto Alegre, Brazil</t>
  </si>
  <si>
    <t>University of Bari</t>
  </si>
  <si>
    <t>Bari, Italy</t>
  </si>
  <si>
    <t>University of Cincinnati</t>
  </si>
  <si>
    <t>Cincinnati, United States</t>
  </si>
  <si>
    <t>751-760</t>
  </si>
  <si>
    <t>Brandeis University</t>
  </si>
  <si>
    <t>Waltham, United States</t>
  </si>
  <si>
    <t>Budapest University of Technology and Economics</t>
  </si>
  <si>
    <t>De La Salle University</t>
  </si>
  <si>
    <t>Manila, Philippines</t>
  </si>
  <si>
    <t>Instituto Tecnológico Autónomo de México (ITAM)</t>
  </si>
  <si>
    <t>Missouri University of Science and Technology</t>
  </si>
  <si>
    <t>Rolla, United States</t>
  </si>
  <si>
    <t>O.P. Jindal Global University (JGU)</t>
  </si>
  <si>
    <t>Sonepat, India</t>
  </si>
  <si>
    <t>Sofia University "St. Kliment Ohridski"</t>
  </si>
  <si>
    <t>Bulgaria, Bulgaria</t>
  </si>
  <si>
    <t>Temple University</t>
  </si>
  <si>
    <t>Vytautas Magnus University</t>
  </si>
  <si>
    <t>761-770</t>
  </si>
  <si>
    <t>AGH University of Krakow</t>
  </si>
  <si>
    <t>Applied Science Private University - Jordan</t>
  </si>
  <si>
    <t>Holy Spirit University of Kaslik.</t>
  </si>
  <si>
    <t>Jounieh, Lebanon</t>
  </si>
  <si>
    <t>Norwegian University of Life Sciences</t>
  </si>
  <si>
    <t>Ås, Norway</t>
  </si>
  <si>
    <t>Texas Tech University</t>
  </si>
  <si>
    <t>Lubbock, United States</t>
  </si>
  <si>
    <t>University of Messina (UniME)</t>
  </si>
  <si>
    <t>Messina, Italy</t>
  </si>
  <si>
    <t>University of South Florida</t>
  </si>
  <si>
    <t>Tampa, United States</t>
  </si>
  <si>
    <t>University of Trieste</t>
  </si>
  <si>
    <t>Trieste, Italy</t>
  </si>
  <si>
    <t>UWE Bristol (University of the West of England)</t>
  </si>
  <si>
    <t>771-780</t>
  </si>
  <si>
    <t>Drexel University</t>
  </si>
  <si>
    <t>Jiangnan University</t>
  </si>
  <si>
    <t>Wuxi, China (Mainland)</t>
  </si>
  <si>
    <t>Multimedia University (MMU)</t>
  </si>
  <si>
    <t>Cyberjaya, Malaysia</t>
  </si>
  <si>
    <t>Universidad San Francisco de Quito USFQ</t>
  </si>
  <si>
    <t>Quito, Ecuador</t>
  </si>
  <si>
    <t>University of Hohenheim</t>
  </si>
  <si>
    <t>University of New Mexico</t>
  </si>
  <si>
    <t>Albuquerque, United States</t>
  </si>
  <si>
    <t>University of Oklahoma</t>
  </si>
  <si>
    <t>Norman, United States</t>
  </si>
  <si>
    <t>University of Patras</t>
  </si>
  <si>
    <t>Patras, Greece</t>
  </si>
  <si>
    <t>781-790</t>
  </si>
  <si>
    <t>Auezov South Kazakhstan University (SKU)</t>
  </si>
  <si>
    <t>Shymkent, Kazakhstan</t>
  </si>
  <si>
    <t>German Jordanian University</t>
  </si>
  <si>
    <t>Hong Kong Metropolitan University</t>
  </si>
  <si>
    <t>Kazakh National Agrarian Research University (KazNARU)</t>
  </si>
  <si>
    <t>Shahid Beheshti University (SBU)</t>
  </si>
  <si>
    <t>Technische Universität Braunschweig</t>
  </si>
  <si>
    <t>Braunschweig, Germany</t>
  </si>
  <si>
    <t>Universidad de Palermo (UP)</t>
  </si>
  <si>
    <t>University of Latvia</t>
  </si>
  <si>
    <t>Riga, Latvia</t>
  </si>
  <si>
    <t>Verona University</t>
  </si>
  <si>
    <t>Verona, Italy</t>
  </si>
  <si>
    <t>791-800</t>
  </si>
  <si>
    <t>Imam Mohammad Ibn Saud Islamic University – IMSIU</t>
  </si>
  <si>
    <t>Lovely Professional University (LPU)</t>
  </si>
  <si>
    <t>Chaheru, India</t>
  </si>
  <si>
    <t>Near East University</t>
  </si>
  <si>
    <t>Lefkosa, Northern Cyprus</t>
  </si>
  <si>
    <t>Savitribai Phule Pune University</t>
  </si>
  <si>
    <t>Shiraz University</t>
  </si>
  <si>
    <t>Shiraz, Iran</t>
  </si>
  <si>
    <t>Taras Shevchenko National University of Kyiv</t>
  </si>
  <si>
    <t>Kyiv, Ukraine</t>
  </si>
  <si>
    <t>Technological University Dublin</t>
  </si>
  <si>
    <t>Universidade Católica Portuguesa</t>
  </si>
  <si>
    <t>University of Engineering &amp; Technology (UET) Lahore</t>
  </si>
  <si>
    <t>University of Greenwich</t>
  </si>
  <si>
    <t>Greenwich, United Kingdom</t>
  </si>
  <si>
    <t>University of Pecs</t>
  </si>
  <si>
    <t>Pécs, Hungary</t>
  </si>
  <si>
    <t>VILNIUS TECH (Vilnius Gediminas Technical University)</t>
  </si>
  <si>
    <t>Yeungnam University</t>
  </si>
  <si>
    <t>Gyeongsan, South Korea</t>
  </si>
  <si>
    <t>801-850</t>
  </si>
  <si>
    <t>Aberystwyth University</t>
  </si>
  <si>
    <t>Aberystwyth, United Kingdom</t>
  </si>
  <si>
    <t>Alfaisal University</t>
  </si>
  <si>
    <t>American University of Central Asia</t>
  </si>
  <si>
    <t>Bishkek, Kyrgyzstan</t>
  </si>
  <si>
    <t>Azerbaijan Technical University</t>
  </si>
  <si>
    <t>Bournemouth University</t>
  </si>
  <si>
    <t>Poole, United Kingdom</t>
  </si>
  <si>
    <t>Carleton University</t>
  </si>
  <si>
    <t>Chungnam National University</t>
  </si>
  <si>
    <t>Edinburgh Napier University</t>
  </si>
  <si>
    <t>Egypt Japan University of Science &amp; Technology</t>
  </si>
  <si>
    <t>New Borg El Arab, Egypt</t>
  </si>
  <si>
    <t>El Colegio de México, A.C.</t>
  </si>
  <si>
    <t>Gdańsk University of Technology</t>
  </si>
  <si>
    <t>Gdańsk, Poland</t>
  </si>
  <si>
    <t>Georgia State University</t>
  </si>
  <si>
    <t>Clarkston, United States</t>
  </si>
  <si>
    <t>ITMO University</t>
  </si>
  <si>
    <t>Keele University</t>
  </si>
  <si>
    <t>Keele, United Kingdom</t>
  </si>
  <si>
    <t>Khazar University</t>
  </si>
  <si>
    <t>National University of Uzbekistan named after Mirzo Ulugbek</t>
  </si>
  <si>
    <t>Princess Nourah bint Abdulrahman University</t>
  </si>
  <si>
    <t>Rutgers University–Newark</t>
  </si>
  <si>
    <t>Saveetha Institute of Medical And Technical Sciences (SIMATS) , Tamil Nadu,India</t>
  </si>
  <si>
    <t>Tiruvallur, India</t>
  </si>
  <si>
    <t>The National University of Science and Technology MISIS</t>
  </si>
  <si>
    <t>Ton Duc Thang University</t>
  </si>
  <si>
    <t>Ho Chi Minh City, Vietnam</t>
  </si>
  <si>
    <t>Universidad Católica del Uruguay (UCU)</t>
  </si>
  <si>
    <t>Universidad Central de Venezuela</t>
  </si>
  <si>
    <t>Caracas, Venezuela</t>
  </si>
  <si>
    <t>Universidad Nacional de Córdoba - UNC</t>
  </si>
  <si>
    <t>Córdoba, Argentina</t>
  </si>
  <si>
    <t>Universidade de Vigo</t>
  </si>
  <si>
    <t>Vigo, Spain</t>
  </si>
  <si>
    <t>Universidade Federal de São Paulo</t>
  </si>
  <si>
    <t>Universität Duisburg-Essen</t>
  </si>
  <si>
    <t>Duisburg, Germany</t>
  </si>
  <si>
    <t>Université de Lorraine</t>
  </si>
  <si>
    <t>Nancy, France</t>
  </si>
  <si>
    <t>Universiti Tunku Abdul Rahman (UTAR)</t>
  </si>
  <si>
    <t>Kampar, Malaysia</t>
  </si>
  <si>
    <t>University of Baghdad</t>
  </si>
  <si>
    <t>Baghdad, Iraq</t>
  </si>
  <si>
    <t>University of Belgrade</t>
  </si>
  <si>
    <t>Belgrade, Serbia</t>
  </si>
  <si>
    <t>University of Bucharest</t>
  </si>
  <si>
    <t>Bucharest, Romania</t>
  </si>
  <si>
    <t>University of Haifa</t>
  </si>
  <si>
    <t>University of Maryland, Baltimore</t>
  </si>
  <si>
    <t>University of Maryland, Baltimore County</t>
  </si>
  <si>
    <t>University of Modena and Reggio Emilia</t>
  </si>
  <si>
    <t>Modena, Italy</t>
  </si>
  <si>
    <t>University of Mons</t>
  </si>
  <si>
    <t>Mons, Belgium</t>
  </si>
  <si>
    <t>University of Namur</t>
  </si>
  <si>
    <t>Namur, Belgium</t>
  </si>
  <si>
    <t>University of Nebraska - Lincoln</t>
  </si>
  <si>
    <t>Lincoln, United States</t>
  </si>
  <si>
    <t>University of Palermo</t>
  </si>
  <si>
    <t>Palermo, Italy</t>
  </si>
  <si>
    <t>Viet Nam National University Ho Chi Minh City (VNU-HCM)</t>
  </si>
  <si>
    <t>Wake Forest University</t>
  </si>
  <si>
    <t>Winston-Salem, United States</t>
  </si>
  <si>
    <t>Wayne State University</t>
  </si>
  <si>
    <t>Detroit, United States</t>
  </si>
  <si>
    <t>851-900</t>
  </si>
  <si>
    <t>Auburn University</t>
  </si>
  <si>
    <t>Auburn, United States</t>
  </si>
  <si>
    <t>Australian Catholic University</t>
  </si>
  <si>
    <t>Babes-Bolyai University</t>
  </si>
  <si>
    <t>Cluj-Napoca, Romania</t>
  </si>
  <si>
    <t>Catania University</t>
  </si>
  <si>
    <t>Catania, Italy</t>
  </si>
  <si>
    <t>Chiba University</t>
  </si>
  <si>
    <t>Chiba-shi, Japan</t>
  </si>
  <si>
    <t>De Montfort University</t>
  </si>
  <si>
    <t>Gebze Technical University (GTU)</t>
  </si>
  <si>
    <t>Gebze, Türkiye</t>
  </si>
  <si>
    <t>Indian Institute of Technology Gandhinagar (IITGN)</t>
  </si>
  <si>
    <t>Gandhinagar, India</t>
  </si>
  <si>
    <t>Iscte - University Institute of Lisbon</t>
  </si>
  <si>
    <t>Khoja Akhmet Yassawi International Kazakh-Turkish University</t>
  </si>
  <si>
    <t>Turkestan, Kazakhstan</t>
  </si>
  <si>
    <t>Kuwait University</t>
  </si>
  <si>
    <t>Kuwait City, Kuwait</t>
  </si>
  <si>
    <t>Liverpool John Moores University</t>
  </si>
  <si>
    <t>Manipal Academy of Higher Education, Manipal, Karnataka, India</t>
  </si>
  <si>
    <t>Manipal, India</t>
  </si>
  <si>
    <t>Montanuniversität Leoben</t>
  </si>
  <si>
    <t>Leoben, Austria</t>
  </si>
  <si>
    <t>National Technical University of Ukraine "Igor Sikorsky Kyiv Polytechnic Institute"</t>
  </si>
  <si>
    <t>Pontificia Universidad Católica de Valparaíso</t>
  </si>
  <si>
    <t>Valparaíso, Chile</t>
  </si>
  <si>
    <t>Prince of Songkla University</t>
  </si>
  <si>
    <t>Hat Yai, Thailand</t>
  </si>
  <si>
    <t>Sechenov University</t>
  </si>
  <si>
    <t>Southwest Jiaotong University</t>
  </si>
  <si>
    <t>Taif University</t>
  </si>
  <si>
    <t>Ta'if, Saudi Arabia</t>
  </si>
  <si>
    <t>The New School, New York City and Paris</t>
  </si>
  <si>
    <t>New York, United States</t>
  </si>
  <si>
    <t>Tokyo University of Science</t>
  </si>
  <si>
    <t>Kagurazaka, Japan</t>
  </si>
  <si>
    <t>Universidad de Antioquia</t>
  </si>
  <si>
    <t>Medellin, Colombia</t>
  </si>
  <si>
    <t>Universidad de La Habana</t>
  </si>
  <si>
    <t>Havana, Cuba</t>
  </si>
  <si>
    <t>Universidad de Montevideo (UM)</t>
  </si>
  <si>
    <t>Universidad Iberoamericana Ciudad de México - IBERO</t>
  </si>
  <si>
    <t>Universidade de Brasília</t>
  </si>
  <si>
    <t>Brasília, Brazil</t>
  </si>
  <si>
    <t>Università degli Studi della Tuscia (University of Tuscia)</t>
  </si>
  <si>
    <t>Viterbo, Italy</t>
  </si>
  <si>
    <t>Università degli studi Roma Tre</t>
  </si>
  <si>
    <t>Universitas Hasanuddin</t>
  </si>
  <si>
    <t>Makassar, Indonesia</t>
  </si>
  <si>
    <t>Universitat Rovira i Virgili</t>
  </si>
  <si>
    <t>Tarragona, Spain</t>
  </si>
  <si>
    <t>Universiti Pendidikan Sultan Idris (UPSI)</t>
  </si>
  <si>
    <t>Tanjong Malim, Malaysia</t>
  </si>
  <si>
    <t>University of Alicante</t>
  </si>
  <si>
    <t>Sant Vicent del Raspeig, Spain</t>
  </si>
  <si>
    <t>University of Calabria</t>
  </si>
  <si>
    <t>Rende, Italy</t>
  </si>
  <si>
    <t>University of Colorado Denver | Anschutz Medical Campus</t>
  </si>
  <si>
    <t>Denver, United States</t>
  </si>
  <si>
    <t>University of Ghana</t>
  </si>
  <si>
    <t>Legon, Ghana</t>
  </si>
  <si>
    <t>University of Hertfordshire</t>
  </si>
  <si>
    <t>Hatfield, United Kingdom</t>
  </si>
  <si>
    <t>University of Lincoln</t>
  </si>
  <si>
    <t>Lincoln, United Kingdom</t>
  </si>
  <si>
    <t>University of Seoul</t>
  </si>
  <si>
    <t>University of Stavanger</t>
  </si>
  <si>
    <t>Stavanger, Norway</t>
  </si>
  <si>
    <t>University of the Arts London</t>
  </si>
  <si>
    <t>University of the Sunshine Coast</t>
  </si>
  <si>
    <t>Sippy Downs, Australia</t>
  </si>
  <si>
    <t>University of Ulsan</t>
  </si>
  <si>
    <t>University of Westminster</t>
  </si>
  <si>
    <t>University of Wroclaw</t>
  </si>
  <si>
    <t>Wroclaw, Poland</t>
  </si>
  <si>
    <t>V. N. Karazin Kharkiv National University</t>
  </si>
  <si>
    <t>Kharkiv, Ukraine</t>
  </si>
  <si>
    <t>Williams College</t>
  </si>
  <si>
    <t>Williamstown, United States</t>
  </si>
  <si>
    <t>Xidian University</t>
  </si>
  <si>
    <t>Zurich University of Applied Sciences (ZHAW)</t>
  </si>
  <si>
    <t>Winterthur, Switzerland</t>
  </si>
  <si>
    <t>901-950</t>
  </si>
  <si>
    <t>Al-Quds University</t>
  </si>
  <si>
    <t>East Jerusalem, Palestinian Territories</t>
  </si>
  <si>
    <t>Amity University</t>
  </si>
  <si>
    <t>Noida, India</t>
  </si>
  <si>
    <t>Belarusian National Technical University (BNTU)</t>
  </si>
  <si>
    <t>Bina Nusantara University (BINUS)</t>
  </si>
  <si>
    <t>Jakarta, Indonesia</t>
  </si>
  <si>
    <t>Dhofar University</t>
  </si>
  <si>
    <t>Salalah, Oman</t>
  </si>
  <si>
    <t>Effat University</t>
  </si>
  <si>
    <t>Jeddah, Saudi Arabia</t>
  </si>
  <si>
    <t>Escuela Superior Politécnica del Litoral (ESPOL)</t>
  </si>
  <si>
    <t>Guayaquil, Ecuador</t>
  </si>
  <si>
    <t>European University of Lefke</t>
  </si>
  <si>
    <t>Lefke, Northern Cyprus</t>
  </si>
  <si>
    <t>Instituto Politécnico Nacional (IPN)</t>
  </si>
  <si>
    <t>Ciudad de México, Mexico</t>
  </si>
  <si>
    <t>Kaohsiung Medical University</t>
  </si>
  <si>
    <t>Kaohsiung City, Taiwan</t>
  </si>
  <si>
    <t>Khon Kaen University</t>
  </si>
  <si>
    <t>Khon Kaen, Thailand</t>
  </si>
  <si>
    <t>Kyrgyz Russian Slavic University</t>
  </si>
  <si>
    <t>London South Bank University</t>
  </si>
  <si>
    <t>Middlesex University</t>
  </si>
  <si>
    <t>Nanjing Agricultural University</t>
  </si>
  <si>
    <t>Nanjing Normal University</t>
  </si>
  <si>
    <t>Nantes Université</t>
  </si>
  <si>
    <t>Nantes, France</t>
  </si>
  <si>
    <t>North South University</t>
  </si>
  <si>
    <t>Oklahoma State University</t>
  </si>
  <si>
    <t>Stillwater, United States</t>
  </si>
  <si>
    <t>Rhodes University</t>
  </si>
  <si>
    <t>Grahamstown, South Africa</t>
  </si>
  <si>
    <t>Tallinn University</t>
  </si>
  <si>
    <t>Universidad de los Andes - Chile</t>
  </si>
  <si>
    <t>Universidad de Oviedo</t>
  </si>
  <si>
    <t>Oviedo, Spain</t>
  </si>
  <si>
    <t>Universidad del Rosario</t>
  </si>
  <si>
    <t>Universita' degli Studi di Ferrara</t>
  </si>
  <si>
    <t>Ferrara, Italy</t>
  </si>
  <si>
    <t>Universitat Internacional de Catalunya</t>
  </si>
  <si>
    <t>Université Paris-Est Créteil Val de Marne</t>
  </si>
  <si>
    <t>Créteil, France</t>
  </si>
  <si>
    <t>Université Sorbonne Paris Nord</t>
  </si>
  <si>
    <t>Villetaneuse, France</t>
  </si>
  <si>
    <t>University of Beira Interior</t>
  </si>
  <si>
    <t>Covilhã, Portugal</t>
  </si>
  <si>
    <t>University of Brighton</t>
  </si>
  <si>
    <t>University of Calcutta</t>
  </si>
  <si>
    <t>UNIVERSITY OF GDAŃSK</t>
  </si>
  <si>
    <t>University of Kentucky</t>
  </si>
  <si>
    <t>Lexington, United States</t>
  </si>
  <si>
    <t>University of Maribor</t>
  </si>
  <si>
    <t>Maribor, Slovenia</t>
  </si>
  <si>
    <t>University of Mumbai</t>
  </si>
  <si>
    <t>University of Nizwa</t>
  </si>
  <si>
    <t>Nizwa, Oman</t>
  </si>
  <si>
    <t>UPES</t>
  </si>
  <si>
    <t>Dehradun, India</t>
  </si>
  <si>
    <t>Worcester Polytechnic Institute</t>
  </si>
  <si>
    <t>Worcester, United States</t>
  </si>
  <si>
    <t>Wroclaw University of Science and Technology (Wrocław Tech)</t>
  </si>
  <si>
    <t>Wrocław, Poland</t>
  </si>
  <si>
    <t>Yarmouk University</t>
  </si>
  <si>
    <t>Yeshiva University</t>
  </si>
  <si>
    <t>951-1000</t>
  </si>
  <si>
    <t>Addis Ababa University</t>
  </si>
  <si>
    <t>Addis Ababa, Ethiopia</t>
  </si>
  <si>
    <t>Aga Khan University</t>
  </si>
  <si>
    <t>Karachi, Pakistan</t>
  </si>
  <si>
    <t>Azerbaijan University of Architecture and Construction (AzUAC)</t>
  </si>
  <si>
    <t>Charles Sturt University</t>
  </si>
  <si>
    <t>Bathurst, Australia</t>
  </si>
  <si>
    <t>Chungbuk National University</t>
  </si>
  <si>
    <t>Cheongju, South Korea</t>
  </si>
  <si>
    <t>Clark University</t>
  </si>
  <si>
    <t>Clemson University</t>
  </si>
  <si>
    <t>Clemson, United States</t>
  </si>
  <si>
    <t>Future University in Egypt</t>
  </si>
  <si>
    <t>New Cairo, Egypt</t>
  </si>
  <si>
    <t>IMU University</t>
  </si>
  <si>
    <t>Kuala Lumpur., Malaysia</t>
  </si>
  <si>
    <t>Kanazawa University</t>
  </si>
  <si>
    <t>Kanazawa, Japan</t>
  </si>
  <si>
    <t>Macao Polytechnic University</t>
  </si>
  <si>
    <t>Mendel University in Brno</t>
  </si>
  <si>
    <t>Nagasaki University</t>
  </si>
  <si>
    <t>Nagasaki City, Japan</t>
  </si>
  <si>
    <t>NLC «Buketov Karaganda National Research University»</t>
  </si>
  <si>
    <t>Karaganda, Kazakhstan</t>
  </si>
  <si>
    <t>Politecnico di Bari</t>
  </si>
  <si>
    <t>Princess Sumaya University for Technology</t>
  </si>
  <si>
    <t>Rochester Institute of Technology (RIT)</t>
  </si>
  <si>
    <t>Sohar University</t>
  </si>
  <si>
    <t>Sohar, Oman</t>
  </si>
  <si>
    <t>South Ural State University (National Research University)</t>
  </si>
  <si>
    <t>Chelyabinsk, Russia</t>
  </si>
  <si>
    <t>Southwest University</t>
  </si>
  <si>
    <t>Tokyo University of Agriculture and Technology</t>
  </si>
  <si>
    <t>The University of Lahore</t>
  </si>
  <si>
    <t>Universidad de Córdoba</t>
  </si>
  <si>
    <t>Córdoba, Spain</t>
  </si>
  <si>
    <t>Universidad de Valladolid</t>
  </si>
  <si>
    <t>Valladolid, Spain</t>
  </si>
  <si>
    <t>Universidad Nacional Mayor de San Marcos</t>
  </si>
  <si>
    <t>Universit degli Studi della Campania Luigi Vanvitelli</t>
  </si>
  <si>
    <t>Caserta, Italy</t>
  </si>
  <si>
    <t>Universitas Sebelas Maret (UNS)</t>
  </si>
  <si>
    <t>Surakarta, Indonesia</t>
  </si>
  <si>
    <t>Université de Franche-Comté</t>
  </si>
  <si>
    <t>Besançon, France</t>
  </si>
  <si>
    <t>Université de Sherbrooke</t>
  </si>
  <si>
    <t>Sherbrooke, Canada</t>
  </si>
  <si>
    <t>Université du Québec</t>
  </si>
  <si>
    <t>University at Albany SUNY</t>
  </si>
  <si>
    <t>Albany, United States</t>
  </si>
  <si>
    <t>University Duesseldorf</t>
  </si>
  <si>
    <t>Düsseldorf, Germany</t>
  </si>
  <si>
    <t>University of Alabama at Birmingham</t>
  </si>
  <si>
    <t>Birmingham, United States</t>
  </si>
  <si>
    <t>University of Alaska Fairbanks</t>
  </si>
  <si>
    <t>Fairbanks, United States</t>
  </si>
  <si>
    <t>University of Bahrain</t>
  </si>
  <si>
    <t>Zallaq, Bahrain</t>
  </si>
  <si>
    <t>University of Cyberjaya</t>
  </si>
  <si>
    <t>University of Santo Tomas</t>
  </si>
  <si>
    <t>Virginia Commonwealth University</t>
  </si>
  <si>
    <t>Richmond, United States</t>
  </si>
  <si>
    <t>Wuhan University of Technology</t>
  </si>
  <si>
    <t>1001-1200</t>
  </si>
  <si>
    <t>Abylkas Saginov Karaganda Technical University</t>
  </si>
  <si>
    <t>ADA University</t>
  </si>
  <si>
    <t>Al Nahrain University</t>
  </si>
  <si>
    <t>Al-Azhar University</t>
  </si>
  <si>
    <t>Aligarh Muslim University</t>
  </si>
  <si>
    <t>Aligarh, India</t>
  </si>
  <si>
    <t>Almaty Technological University</t>
  </si>
  <si>
    <t>Anglia Ruskin University</t>
  </si>
  <si>
    <t>Athens University of Economics and Business</t>
  </si>
  <si>
    <t>Bahauddin Zakariya University</t>
  </si>
  <si>
    <t>Multan, Pakistan</t>
  </si>
  <si>
    <t>Beijing University of Posts and Telecommunications</t>
  </si>
  <si>
    <t>Bergische Universität Wuppertal</t>
  </si>
  <si>
    <t>Wuppertal, Germany</t>
  </si>
  <si>
    <t>Bielefeld University</t>
  </si>
  <si>
    <t>Bielefeld, Germany</t>
  </si>
  <si>
    <t>Binghamton University SUNY</t>
  </si>
  <si>
    <t>Binghamton, United States</t>
  </si>
  <si>
    <t>Birmingham City University</t>
  </si>
  <si>
    <t>Islamic University of Madinah</t>
  </si>
  <si>
    <t>Madinah, Saudi Arabia</t>
  </si>
  <si>
    <t>Ivane Javakhishvili Tbilisi State University</t>
  </si>
  <si>
    <t>Tbilisi, Georgia</t>
  </si>
  <si>
    <t>Kalinga Institute of Industrial Technology (KIIT) University</t>
  </si>
  <si>
    <t>Bhubaneswar, India</t>
  </si>
  <si>
    <t>Kansas State University</t>
  </si>
  <si>
    <t>Manhattan, United States</t>
  </si>
  <si>
    <t>King Mongkut's University of Technology Thonburi</t>
  </si>
  <si>
    <t>Kookmin University</t>
  </si>
  <si>
    <t>Seongbuk-gu, South Korea</t>
  </si>
  <si>
    <t>Kumamoto University</t>
  </si>
  <si>
    <t>Kumamoto City, Japan</t>
  </si>
  <si>
    <t>Kyrgyz-Turkish Manas University</t>
  </si>
  <si>
    <t>London Metropolitan University</t>
  </si>
  <si>
    <t>Makerere University</t>
  </si>
  <si>
    <t>Kampala, Uganda</t>
  </si>
  <si>
    <t>Mansoura University</t>
  </si>
  <si>
    <t>Mansoura , Egypt</t>
  </si>
  <si>
    <t>MATE Hungarian University of Agriculture and Life Sciences</t>
  </si>
  <si>
    <t>Gödöllő, Hungary</t>
  </si>
  <si>
    <t>Michigan Technological University</t>
  </si>
  <si>
    <t>Houghton, United States</t>
  </si>
  <si>
    <t>Middle East University Jordan</t>
  </si>
  <si>
    <t>Mustansiriyah University</t>
  </si>
  <si>
    <t>Mutah University</t>
  </si>
  <si>
    <t>Mu'tah, Jordan</t>
  </si>
  <si>
    <t>Narxoz University</t>
  </si>
  <si>
    <t>National Technical University Kharkiv Polytechnic Institute</t>
  </si>
  <si>
    <t>Nicolaus Copernicus University</t>
  </si>
  <si>
    <t>Toruń, Poland</t>
  </si>
  <si>
    <t>Niigata University</t>
  </si>
  <si>
    <t>Niigata City, Japan</t>
  </si>
  <si>
    <t>Ningbo University</t>
  </si>
  <si>
    <t>Ningbo, China (Mainland)</t>
  </si>
  <si>
    <t>North-West University</t>
  </si>
  <si>
    <t>Potchefstroom, South Africa</t>
  </si>
  <si>
    <t>Northern Arizona University</t>
  </si>
  <si>
    <t>Flagstaff, United States</t>
  </si>
  <si>
    <t>Northern Borders University</t>
  </si>
  <si>
    <t>Arar, Saudi Arabia</t>
  </si>
  <si>
    <t>Northwest University (China)</t>
  </si>
  <si>
    <t>Obuda University</t>
  </si>
  <si>
    <t>Okayama University</t>
  </si>
  <si>
    <t>Okayama City, Japan</t>
  </si>
  <si>
    <t>Panjab University, Chandigarh</t>
  </si>
  <si>
    <t>Chandigarh, India</t>
  </si>
  <si>
    <t>Pavol Jozef Šafárik University in Košice</t>
  </si>
  <si>
    <t>Košice, Slovakia</t>
  </si>
  <si>
    <t>Pontificia Universidad Católica del Ecuador (PUCE)</t>
  </si>
  <si>
    <t>Pontifícia Universidade Católica de São Paulo</t>
  </si>
  <si>
    <t>Poznan University of Life Sciences</t>
  </si>
  <si>
    <t>Poznan, Poland</t>
  </si>
  <si>
    <t>Poznan University of Technology</t>
  </si>
  <si>
    <t>Prague University of Economics and Business</t>
  </si>
  <si>
    <t>Riga Stradins University</t>
  </si>
  <si>
    <t>Ritsumeikan Asia Pacific University</t>
  </si>
  <si>
    <t>Beppu City, Japan</t>
  </si>
  <si>
    <t>Robert Gordon University</t>
  </si>
  <si>
    <t>Roskilde University</t>
  </si>
  <si>
    <t>Roskilde , Denmark</t>
  </si>
  <si>
    <t>Saint Louis University</t>
  </si>
  <si>
    <t>Samarkand State University</t>
  </si>
  <si>
    <t>Samarkand, Uzbekistan</t>
  </si>
  <si>
    <t>Shaanxi Normal University</t>
  </si>
  <si>
    <t>Sheffield Hallam University</t>
  </si>
  <si>
    <t>Sheffield, United Kingdom</t>
  </si>
  <si>
    <t>Siberian Federal University, SibFU</t>
  </si>
  <si>
    <t>Krasnoyarsk, Russia</t>
  </si>
  <si>
    <t>Silesian University of Technology</t>
  </si>
  <si>
    <t>Gliwice, Poland</t>
  </si>
  <si>
    <t>Soonchunhyang University</t>
  </si>
  <si>
    <t>Asan, South Korea</t>
  </si>
  <si>
    <t>Southern Federal University</t>
  </si>
  <si>
    <t>Rostov-on-Don, Russia</t>
  </si>
  <si>
    <t>Southern Methodist University</t>
  </si>
  <si>
    <t>Dallas, United States</t>
  </si>
  <si>
    <t>SRM Institute of Science and Technology</t>
  </si>
  <si>
    <t>Tashkent State Technical University</t>
  </si>
  <si>
    <t>Technical University of Kosice</t>
  </si>
  <si>
    <t>Technische Universität Chemnitz</t>
  </si>
  <si>
    <t>Chemnitz, Germany</t>
  </si>
  <si>
    <t>The Hashemite University</t>
  </si>
  <si>
    <t>Zarqa, Jordan</t>
  </si>
  <si>
    <t>The University of Texas at Arlington</t>
  </si>
  <si>
    <t>Arlington, United States</t>
  </si>
  <si>
    <t>The University of Texas at San Antonio</t>
  </si>
  <si>
    <t>San Antonio, United States</t>
  </si>
  <si>
    <t>Tokyo Metropolitan University</t>
  </si>
  <si>
    <t>Universidad Andrés Bello</t>
  </si>
  <si>
    <t>Universidad Austral de Chile</t>
  </si>
  <si>
    <t>Valdivia, Chile</t>
  </si>
  <si>
    <t>Universidad Autónoma Metropolitana (UAM)</t>
  </si>
  <si>
    <t>Universidad Católica Andres Bello</t>
  </si>
  <si>
    <t>Caracas City, Venezuela</t>
  </si>
  <si>
    <t>Universidad de Belgrano (UB)</t>
  </si>
  <si>
    <t>Universidad de Cantabria</t>
  </si>
  <si>
    <t>Santander, Spain</t>
  </si>
  <si>
    <t>Universidad de Castilla-La Mancha</t>
  </si>
  <si>
    <t>Ciudad Real, Spain</t>
  </si>
  <si>
    <t>Universidad de Extremadura</t>
  </si>
  <si>
    <t>Badajoz, Spain</t>
  </si>
  <si>
    <t>Universidad de Guadalajara (UDG)</t>
  </si>
  <si>
    <t>Guadalajara, Mexico</t>
  </si>
  <si>
    <t>Universidad de La Sabana</t>
  </si>
  <si>
    <t>Universidad de las Américas Puebla (UDLAP)</t>
  </si>
  <si>
    <t>Cholula, Mexico</t>
  </si>
  <si>
    <t>Universidad de Málaga</t>
  </si>
  <si>
    <t>Málaga, Spain</t>
  </si>
  <si>
    <t>Universidad de Puerto Rico</t>
  </si>
  <si>
    <t>San Juan, Puerto Rico</t>
  </si>
  <si>
    <t>Universidad de San Andrés - UdeSA</t>
  </si>
  <si>
    <t>Universidad EAFIT</t>
  </si>
  <si>
    <t>Universidad Externado de Colombia</t>
  </si>
  <si>
    <t>Universidad Nacional de Rosario (UNR)</t>
  </si>
  <si>
    <t>Rosario, Argentina</t>
  </si>
  <si>
    <t>Universidad ORT Uruguay</t>
  </si>
  <si>
    <t>Universidad Peruana Cayetano Heredia (UPCH)</t>
  </si>
  <si>
    <t>San Martin, Peru</t>
  </si>
  <si>
    <t>Universidad Pontificia Bolivariana</t>
  </si>
  <si>
    <t>Medellín, Colombia</t>
  </si>
  <si>
    <t>Universidad Rey Juan Carlos</t>
  </si>
  <si>
    <t>Móstoles, Spain</t>
  </si>
  <si>
    <t>Universidad Simón Bolívar (USB)</t>
  </si>
  <si>
    <t>Universidad Técnica Federico Santa María (USM)</t>
  </si>
  <si>
    <t>Universidad Torcuato Di Tella</t>
  </si>
  <si>
    <t>Universidade Federal de São Carlos (UFSCar)</t>
  </si>
  <si>
    <t>Universidade Federal do Paraná - UFPR</t>
  </si>
  <si>
    <t>Curitiba, Brazil</t>
  </si>
  <si>
    <t>Universit de Bretagne Occidentale</t>
  </si>
  <si>
    <t>Brest, France</t>
  </si>
  <si>
    <t>Universit degli Studi di Perugia</t>
  </si>
  <si>
    <t>PERUGIA, Italy</t>
  </si>
  <si>
    <t>Università degli Studi di Udine</t>
  </si>
  <si>
    <t>Udine, Italy</t>
  </si>
  <si>
    <t>Universita' degli Studi "G. d'Annunzio" Chieti Pescara</t>
  </si>
  <si>
    <t>Chieti, Italy</t>
  </si>
  <si>
    <t>Universita' degli Studi dell'Aquila</t>
  </si>
  <si>
    <t>L'Aquila, Italy</t>
  </si>
  <si>
    <t>Universitas Sumatera Utara</t>
  </si>
  <si>
    <t>Medan City, Indonesia</t>
  </si>
  <si>
    <t>Universitat de Lleida (University of Lleida)</t>
  </si>
  <si>
    <t>Lleida, Spain</t>
  </si>
  <si>
    <t>Universitat Jaume I (CASTELLÓ)</t>
  </si>
  <si>
    <t>Castelló de la Plana, Spain</t>
  </si>
  <si>
    <t>Université Lumière Lyon 2</t>
  </si>
  <si>
    <t>Université Mohammed V de Rabat</t>
  </si>
  <si>
    <t>Rabat, Morocco</t>
  </si>
  <si>
    <t>Universiti Malaysia Perlis</t>
  </si>
  <si>
    <t>Kangar, Malaysia</t>
  </si>
  <si>
    <t>Universiti Malaysia Sabah (UMS)</t>
  </si>
  <si>
    <t>Kota Kinabalu, Malaysia</t>
  </si>
  <si>
    <t>Universiti Malaysia Sarawak (UNIMAS)</t>
  </si>
  <si>
    <t>Kuching, Malaysia</t>
  </si>
  <si>
    <t>Universiti Tun Hussein Onn Malaysia (UTHM)</t>
  </si>
  <si>
    <t>Batu Pahat, Malaysia</t>
  </si>
  <si>
    <t>University of Agder</t>
  </si>
  <si>
    <t>Kristiansand, Norway</t>
  </si>
  <si>
    <t>University of Algarve</t>
  </si>
  <si>
    <t>Faro, Portugal</t>
  </si>
  <si>
    <t>University of Balamand</t>
  </si>
  <si>
    <t>University of Cassino and Southern Lazio</t>
  </si>
  <si>
    <t>Cassino, Italy</t>
  </si>
  <si>
    <t>University of Colombo</t>
  </si>
  <si>
    <t>Colombo,, Sri Lanka</t>
  </si>
  <si>
    <t>University of Denver</t>
  </si>
  <si>
    <t>University of Deusto</t>
  </si>
  <si>
    <t>Bilbao, Spain</t>
  </si>
  <si>
    <t>University of East London</t>
  </si>
  <si>
    <t>University of Ha'il</t>
  </si>
  <si>
    <t>Hail, Saudi Arabia</t>
  </si>
  <si>
    <t>University of Ibadan</t>
  </si>
  <si>
    <t>Ibadan, Nigeria</t>
  </si>
  <si>
    <t>University of Lagos</t>
  </si>
  <si>
    <t>Lagos, Nigeria</t>
  </si>
  <si>
    <t>University of Lancashire</t>
  </si>
  <si>
    <t>Preston, United Kingdom</t>
  </si>
  <si>
    <t>University of Louisville</t>
  </si>
  <si>
    <t>Louisville, United States</t>
  </si>
  <si>
    <t>University of Massachusetts Boston</t>
  </si>
  <si>
    <t>University of Mississippi</t>
  </si>
  <si>
    <t>Oxford, United States</t>
  </si>
  <si>
    <t>University of Murcia</t>
  </si>
  <si>
    <t>Murcia, Spain</t>
  </si>
  <si>
    <t>University of Nairobi</t>
  </si>
  <si>
    <t>Nairobi, Kenya</t>
  </si>
  <si>
    <t>University of Naples Parthenope</t>
  </si>
  <si>
    <t>University of Nevada - Reno</t>
  </si>
  <si>
    <t>Reno, United States</t>
  </si>
  <si>
    <t>University of North Texas</t>
  </si>
  <si>
    <t>Denton, United States</t>
  </si>
  <si>
    <t>University of Pannonia</t>
  </si>
  <si>
    <t>Veszprém, Hungary</t>
  </si>
  <si>
    <t>University of Parma</t>
  </si>
  <si>
    <t>Parma, Italy</t>
  </si>
  <si>
    <t>University of Regina</t>
  </si>
  <si>
    <t>Regina, Canada</t>
  </si>
  <si>
    <t>University of Rhode Island</t>
  </si>
  <si>
    <t>Kingston, United States</t>
  </si>
  <si>
    <t>University of Roehampton, London</t>
  </si>
  <si>
    <t>University of Salento</t>
  </si>
  <si>
    <t>Lecce (LE), Italy</t>
  </si>
  <si>
    <t>University of Salford</t>
  </si>
  <si>
    <t>Salford, United Kingdom</t>
  </si>
  <si>
    <t>University of Sfax</t>
  </si>
  <si>
    <t>Sfax, Tunisia</t>
  </si>
  <si>
    <t>University of South Bohemia in České Budějovice</t>
  </si>
  <si>
    <t>České Budějovice, Czechia</t>
  </si>
  <si>
    <t>University of Tabuk</t>
  </si>
  <si>
    <t>Tabuk, Saudi Arabia</t>
  </si>
  <si>
    <t>University of the Free State</t>
  </si>
  <si>
    <t>Bloemfontein, South Africa</t>
  </si>
  <si>
    <t>University of the Western Cape</t>
  </si>
  <si>
    <t>University of Vermont</t>
  </si>
  <si>
    <t>Burlington, United States</t>
  </si>
  <si>
    <t>University of Wolverhampton</t>
  </si>
  <si>
    <t>Wolverhampton, United Kingdom</t>
  </si>
  <si>
    <t>Van Lang University</t>
  </si>
  <si>
    <t>VSB - Technical University of Ostrava</t>
  </si>
  <si>
    <t>Ostrava, Czechia</t>
  </si>
  <si>
    <t>West Virginia University</t>
  </si>
  <si>
    <t>Morgantown, United States</t>
  </si>
  <si>
    <t>William &amp; Mary</t>
  </si>
  <si>
    <t>Williamsburg, United States</t>
  </si>
  <si>
    <t>Xi'an Jiaotong Liverpool University</t>
  </si>
  <si>
    <t>Yerevan State University</t>
  </si>
  <si>
    <t>Yerevan, Armenia</t>
  </si>
  <si>
    <t>Yokohama National University</t>
  </si>
  <si>
    <t>Yokohama City, Japan</t>
  </si>
  <si>
    <t>Yuan Ze University</t>
  </si>
  <si>
    <t>1201-1400</t>
  </si>
  <si>
    <t>A'Sharqiyah University</t>
  </si>
  <si>
    <t>Ibra, Oman</t>
  </si>
  <si>
    <t>Adamson University</t>
  </si>
  <si>
    <t>Ahmadu Bello University, Zaria</t>
  </si>
  <si>
    <t>Zaria, Nigeria</t>
  </si>
  <si>
    <t>Al-Balqa Applied University</t>
  </si>
  <si>
    <t>As-Salt, Jordan</t>
  </si>
  <si>
    <t>Amman Arab University</t>
  </si>
  <si>
    <t>Amrita Vishwa Vidyapeetham</t>
  </si>
  <si>
    <t>Anhui University</t>
  </si>
  <si>
    <t>Ataturk University</t>
  </si>
  <si>
    <t>Erzurum, Türkiye</t>
  </si>
  <si>
    <t>Azerbaijan State Pedagogical University</t>
  </si>
  <si>
    <t>Baylor University</t>
  </si>
  <si>
    <t>Waco, United States</t>
  </si>
  <si>
    <t>Beijing Foreign Studies University</t>
  </si>
  <si>
    <t>Beni-Suef University</t>
  </si>
  <si>
    <t>Beni-Suef, Egypt</t>
  </si>
  <si>
    <t>Brigham Young University</t>
  </si>
  <si>
    <t>Provo, United States</t>
  </si>
  <si>
    <t>British University in Egypt</t>
  </si>
  <si>
    <t>El Shorouk, Egypt</t>
  </si>
  <si>
    <t>Brock University</t>
  </si>
  <si>
    <t>St. Catharines, Canada</t>
  </si>
  <si>
    <t>Capital University – Egypt</t>
  </si>
  <si>
    <t>Helwan, Egypt</t>
  </si>
  <si>
    <t>Central China Normal University</t>
  </si>
  <si>
    <t>Chung Yuan Christian University</t>
  </si>
  <si>
    <t>Damascus University</t>
  </si>
  <si>
    <t>Damascus, Syria</t>
  </si>
  <si>
    <t>Delta University for Science and Technology</t>
  </si>
  <si>
    <t>Dakahlia, Egypt</t>
  </si>
  <si>
    <t>Democritus University of Thrace (DUTH)</t>
  </si>
  <si>
    <t>Komotini, Greece</t>
  </si>
  <si>
    <t>Dokuz Eylul Universitesi</t>
  </si>
  <si>
    <t>Izmir, Türkiye</t>
  </si>
  <si>
    <t>Empress Catherine II Saint Petersburg Mining University</t>
  </si>
  <si>
    <t>Erciyes University</t>
  </si>
  <si>
    <t>Kayseri, Türkiye</t>
  </si>
  <si>
    <t>Estonian University of Life Sciences</t>
  </si>
  <si>
    <t>N/A</t>
  </si>
  <si>
    <t>Florida Atlantic University - Boca Raton</t>
  </si>
  <si>
    <t>Boca Raton, United States</t>
  </si>
  <si>
    <t>Fu Jen Catholic University</t>
  </si>
  <si>
    <t>New Taipei City, Taiwan</t>
  </si>
  <si>
    <t>Fujian Normal University</t>
  </si>
  <si>
    <t>Fuzhou, China (Mainland)</t>
  </si>
  <si>
    <t>Galgotias University</t>
  </si>
  <si>
    <t>Greater Noida, India</t>
  </si>
  <si>
    <t>Gifu University</t>
  </si>
  <si>
    <t>Gifu City, Japan</t>
  </si>
  <si>
    <t>Gunma University</t>
  </si>
  <si>
    <t>Maebashi, Japan</t>
  </si>
  <si>
    <t>Henan University</t>
  </si>
  <si>
    <t>Kaifeng, China (Mainland)</t>
  </si>
  <si>
    <t>Ibn Tofail University</t>
  </si>
  <si>
    <t>Kenitra, Morocco</t>
  </si>
  <si>
    <t>Indian Institute of Information Technology, Allahabad</t>
  </si>
  <si>
    <t>Prayagraj, India</t>
  </si>
  <si>
    <t>Indiana University Indianapolis (IU Indianapolis)</t>
  </si>
  <si>
    <t>Indianapolis, United States</t>
  </si>
  <si>
    <t>Instituto Tecnológico de Buenos Aires (ITBA)</t>
  </si>
  <si>
    <t>International Christian University</t>
  </si>
  <si>
    <t>Islamic University of Lebanon</t>
  </si>
  <si>
    <t>Khalde, Lebanon</t>
  </si>
  <si>
    <t>Istanbul Aydin University</t>
  </si>
  <si>
    <t>ITESO, Universidad Jesuita de Guadalajara</t>
  </si>
  <si>
    <t>Tlaquepaque, Mexico</t>
  </si>
  <si>
    <t>Ivan Franko National University of Lviv</t>
  </si>
  <si>
    <t>Lviv, Ukraine</t>
  </si>
  <si>
    <t>Izmir Institute of Technology (IZTECH)</t>
  </si>
  <si>
    <t>Jadara University</t>
  </si>
  <si>
    <t>Kagoshima University</t>
  </si>
  <si>
    <t>Kagoshima City, Japan</t>
  </si>
  <si>
    <t>Kazakh-British Technical University</t>
  </si>
  <si>
    <t>Kent State University</t>
  </si>
  <si>
    <t>Kent, United States</t>
  </si>
  <si>
    <t>King Mongkuts Institute of Technology Ladkrabang (KMITL)</t>
  </si>
  <si>
    <t>Kwame Nkrumah University of Science and Technology</t>
  </si>
  <si>
    <t>Kumasi, Ghana</t>
  </si>
  <si>
    <t>Kyrgyz National University</t>
  </si>
  <si>
    <t>Kyushu Institute of Technology</t>
  </si>
  <si>
    <t>Kitakyushu, Japan</t>
  </si>
  <si>
    <t>Lobachevsky University</t>
  </si>
  <si>
    <t>Nizhny Novgorod, Russia</t>
  </si>
  <si>
    <t>Loyola University Chicago</t>
  </si>
  <si>
    <t>Lviv Polytechnic National University</t>
  </si>
  <si>
    <t>Malmo University</t>
  </si>
  <si>
    <t>Malmo, Sweden</t>
  </si>
  <si>
    <t>Miami University</t>
  </si>
  <si>
    <t>Nagoya Institute of Technology (NIT)</t>
  </si>
  <si>
    <t>National Research Saratov State University</t>
  </si>
  <si>
    <t>Saratov, Russia</t>
  </si>
  <si>
    <t>National Taipei University</t>
  </si>
  <si>
    <t>National Taiwan Ocean University</t>
  </si>
  <si>
    <t>Keelung City, Taiwan</t>
  </si>
  <si>
    <t>National University of Kyiv-Mohyla Academy (NaUKMA)</t>
  </si>
  <si>
    <t>National University of Science and Technology POLITEHNICA Bucharest</t>
  </si>
  <si>
    <t>National University of Science and Technology, Oman</t>
  </si>
  <si>
    <t>Bousher, Oman</t>
  </si>
  <si>
    <t>New Mexico State University</t>
  </si>
  <si>
    <t>Las Cruces, United States</t>
  </si>
  <si>
    <t>Notre Dame University-Louaize NDU</t>
  </si>
  <si>
    <t>Keserwan, Lebanon</t>
  </si>
  <si>
    <t>Odessa I.I.Mechnikov National University</t>
  </si>
  <si>
    <t>Odessa, Ukraine</t>
  </si>
  <si>
    <t>Ohio University</t>
  </si>
  <si>
    <t>Oslo Metropolitan University</t>
  </si>
  <si>
    <t>Otto-Friedrich-Universität Bamberg</t>
  </si>
  <si>
    <t>Bamberg, Germany</t>
  </si>
  <si>
    <t>Ozyegin University</t>
  </si>
  <si>
    <t>Palestine Technical University - Kadoorie</t>
  </si>
  <si>
    <t>Tulkarm, Palestinian Territories</t>
  </si>
  <si>
    <t>Paul Valéry University Montpellier</t>
  </si>
  <si>
    <t>Portland State University</t>
  </si>
  <si>
    <t>Portland, United States</t>
  </si>
  <si>
    <t>Pukyong National University</t>
  </si>
  <si>
    <t>Queen Margaret University , Edinburgh</t>
  </si>
  <si>
    <t>Musselburgh, United Kingdom</t>
  </si>
  <si>
    <t>Riphah International University</t>
  </si>
  <si>
    <t>Russian Presidential Academy of National Economy and Public Administration</t>
  </si>
  <si>
    <t>Saint Petersburg Electrotechnical University ETU-LETI</t>
  </si>
  <si>
    <t>Saken Seifullin Kazakh Agrotechnical Research University</t>
  </si>
  <si>
    <t>Astana, Kazakhstan</t>
  </si>
  <si>
    <t>San Diego State University</t>
  </si>
  <si>
    <t>San Diego , United States</t>
  </si>
  <si>
    <t>Sathyabama Institute of Science and Technology (Deemed to be University)</t>
  </si>
  <si>
    <t>Selcuk University</t>
  </si>
  <si>
    <t>Selcuklu, Türkiye</t>
  </si>
  <si>
    <t>Shanghai University of Finance and Economics</t>
  </si>
  <si>
    <t>Shinshu University</t>
  </si>
  <si>
    <t>Matsumoto City, Japan</t>
  </si>
  <si>
    <t>Siksha ‘O’ Anusandhan (Deemed to be University), SOA</t>
  </si>
  <si>
    <t>Slovak University of Agriculture in Nitra</t>
  </si>
  <si>
    <t>Nitra, Slovakia</t>
  </si>
  <si>
    <t>Sookmyung Women's University</t>
  </si>
  <si>
    <t>Sumy State University</t>
  </si>
  <si>
    <t>Sumy, Ukraine</t>
  </si>
  <si>
    <t>Sungshin Women's University</t>
  </si>
  <si>
    <t>Taibah University</t>
  </si>
  <si>
    <t>Medina, Saudi Arabia</t>
  </si>
  <si>
    <t>Tamkang University</t>
  </si>
  <si>
    <t>Tashkent State Transport University</t>
  </si>
  <si>
    <t>Tecnológico de Costa Rica -TEC</t>
  </si>
  <si>
    <t>Cartago, Costa Rica</t>
  </si>
  <si>
    <t>Telkom University</t>
  </si>
  <si>
    <t>The University of Northampton</t>
  </si>
  <si>
    <t>Northampton, United Kingdom</t>
  </si>
  <si>
    <t>The University of Notre Dame, Australia</t>
  </si>
  <si>
    <t>Tishk International University</t>
  </si>
  <si>
    <t>Erbil, Iraq</t>
  </si>
  <si>
    <t>Tokushima University</t>
  </si>
  <si>
    <t>Tokushima City, Japan</t>
  </si>
  <si>
    <t>Tomas Bata University in Zlin</t>
  </si>
  <si>
    <t>Zlin, Czechia</t>
  </si>
  <si>
    <t>Tunghai University</t>
  </si>
  <si>
    <t>UCAM Universidad Católica San Antonio de Murcia</t>
  </si>
  <si>
    <t>Universidad Autónoma de Nuevo León</t>
  </si>
  <si>
    <t>San Nicolás de los Garza, Mexico</t>
  </si>
  <si>
    <t>Universidad Autónoma del Estado de México (UAEMex)</t>
  </si>
  <si>
    <t>Toluca de Lerdo, Mexico</t>
  </si>
  <si>
    <t>Universidad Científica del Sur</t>
  </si>
  <si>
    <t>Universidad de Almeria</t>
  </si>
  <si>
    <t>Almería, Spain</t>
  </si>
  <si>
    <t>Universidad de Cádiz</t>
  </si>
  <si>
    <t>Cádiz, Spain</t>
  </si>
  <si>
    <t>Universidad de La Frontera (UFRO)</t>
  </si>
  <si>
    <t>Temuco, Chile</t>
  </si>
  <si>
    <t>Universidad de Las Américas (UDLA) Ecuador</t>
  </si>
  <si>
    <t>Universidad de Lima</t>
  </si>
  <si>
    <t>Universidad de Los Andes - (ULA) Mérida</t>
  </si>
  <si>
    <t>Merida, Venezuela</t>
  </si>
  <si>
    <t>Universidad de Monterrey (UDEM)</t>
  </si>
  <si>
    <t>San Pedro Garza García, Mexico</t>
  </si>
  <si>
    <t>Universidad del Desarrollo (UDD)</t>
  </si>
  <si>
    <t>Universidad del Norte</t>
  </si>
  <si>
    <t>Barranquilla, Colombia</t>
  </si>
  <si>
    <t>Universidad del Valle</t>
  </si>
  <si>
    <t>Cali, Colombia</t>
  </si>
  <si>
    <t>Universidad del Valle de Guatemala (UVG)</t>
  </si>
  <si>
    <t>Guatemala City, Guatemala</t>
  </si>
  <si>
    <t>Universidad Diego Portales</t>
  </si>
  <si>
    <t>Universidad ICESI</t>
  </si>
  <si>
    <t>Universidad Miguel Hernández de Elche</t>
  </si>
  <si>
    <t>Elche, Spain</t>
  </si>
  <si>
    <t>Universidad Nacional de Asunción</t>
  </si>
  <si>
    <t>San Lorenzo, Paraguay</t>
  </si>
  <si>
    <t>Universidad Nacional de Cuyo (UNCUYO)</t>
  </si>
  <si>
    <t>Mendoza, Argentina</t>
  </si>
  <si>
    <t>Universidad Nacional, Costa Rica</t>
  </si>
  <si>
    <t>Heredia, Costa Rica</t>
  </si>
  <si>
    <t>Universidad Pablo de Olavide</t>
  </si>
  <si>
    <t>Universidade da Coruña</t>
  </si>
  <si>
    <t>A Coruña, Spain</t>
  </si>
  <si>
    <t>Universidade do Estado do Rio de Janeiro (UERJ)</t>
  </si>
  <si>
    <t>Universidade Federal da Bahia</t>
  </si>
  <si>
    <t>Salvador, Brazil</t>
  </si>
  <si>
    <t>Universidade Federal de Pernambuco (UFPE)</t>
  </si>
  <si>
    <t>Recife, Brazil</t>
  </si>
  <si>
    <t>Universidade Federal Fluminense</t>
  </si>
  <si>
    <t>Niterói, Brazil</t>
  </si>
  <si>
    <t>Universita' degli Studi del Molise</t>
  </si>
  <si>
    <t>Campobasso, Italy</t>
  </si>
  <si>
    <t>Universita' degli Studi di Sassari</t>
  </si>
  <si>
    <t>Sassari, Italy</t>
  </si>
  <si>
    <t>Universitas Muhammadiyah Yogyakarta (UMY)</t>
  </si>
  <si>
    <t>Universitat de les Illes Balears</t>
  </si>
  <si>
    <t>Palma, Spain</t>
  </si>
  <si>
    <t>Universität Kassel</t>
  </si>
  <si>
    <t>Kassel, Germany</t>
  </si>
  <si>
    <t>Universität Paderborn</t>
  </si>
  <si>
    <t>Paderborn, Germany</t>
  </si>
  <si>
    <t>Universität Siegen</t>
  </si>
  <si>
    <t>Siegen, Germany</t>
  </si>
  <si>
    <t>Universitatea de Vest din Timisoara / West University of Timisoara</t>
  </si>
  <si>
    <t>Timișoara, Romania</t>
  </si>
  <si>
    <t>Université Bourgogne Europe</t>
  </si>
  <si>
    <t>Dijon, France</t>
  </si>
  <si>
    <t>Université de Caen Normandie</t>
  </si>
  <si>
    <t>Caen, France</t>
  </si>
  <si>
    <t>Université de Poitiers</t>
  </si>
  <si>
    <t>Poitiers, France</t>
  </si>
  <si>
    <t>Université de Sousse</t>
  </si>
  <si>
    <t>Sousse, Tunisia</t>
  </si>
  <si>
    <t>Université Paris-Nanterre</t>
  </si>
  <si>
    <t>Université Polytechnique Hauts‑de‑France</t>
  </si>
  <si>
    <t>Valenciennes, France</t>
  </si>
  <si>
    <t>Université Toulouse - Jean Jaurès</t>
  </si>
  <si>
    <t>UNIVERSITI TEKNIKAL MALAYSIA MELAKA</t>
  </si>
  <si>
    <t>Alor Gajah, Malaysia</t>
  </si>
  <si>
    <t>University of Anbar</t>
  </si>
  <si>
    <t>Ramadi, Iraq</t>
  </si>
  <si>
    <t>University of Arkansas Fayetteville</t>
  </si>
  <si>
    <t>Fayetteville, United States</t>
  </si>
  <si>
    <t>University of Cagliari</t>
  </si>
  <si>
    <t>Cagliari, Italy</t>
  </si>
  <si>
    <t>University of Dar es Salaam</t>
  </si>
  <si>
    <t>Dar es Salaam, Tanzania</t>
  </si>
  <si>
    <t>University of Derby</t>
  </si>
  <si>
    <t>Derby, United Kingdom</t>
  </si>
  <si>
    <t>University of Evora</t>
  </si>
  <si>
    <t>Evora, Portugal</t>
  </si>
  <si>
    <t>University of Hradec Kralove</t>
  </si>
  <si>
    <t>Hradec Králové, Czechia</t>
  </si>
  <si>
    <t>University of Idaho</t>
  </si>
  <si>
    <t>Moscow, United States</t>
  </si>
  <si>
    <t>University of Ioannina</t>
  </si>
  <si>
    <t>Ioannina, Greece</t>
  </si>
  <si>
    <t>University of Isfahan</t>
  </si>
  <si>
    <t>University of Karachi</t>
  </si>
  <si>
    <t>University of Khartoum</t>
  </si>
  <si>
    <t>Khartoum, Sudan</t>
  </si>
  <si>
    <t>University of Management and Technology (UMT) Pakistan</t>
  </si>
  <si>
    <t>University of Memphis</t>
  </si>
  <si>
    <t>Memphis, United States</t>
  </si>
  <si>
    <t>University of Missouri, Kansas City</t>
  </si>
  <si>
    <t>Kansas City, United States</t>
  </si>
  <si>
    <t>University of Neuchâtel</t>
  </si>
  <si>
    <t>Neuchâtel, Switzerland</t>
  </si>
  <si>
    <t>University of Nevada - Las Vegas</t>
  </si>
  <si>
    <t>Las Vegas, United States</t>
  </si>
  <si>
    <t>University of New England Australia</t>
  </si>
  <si>
    <t>Armidale, Australia</t>
  </si>
  <si>
    <t>University of New Hampshire</t>
  </si>
  <si>
    <t>University of Nigeria Nsukka</t>
  </si>
  <si>
    <t>Nsukka, Nigeria</t>
  </si>
  <si>
    <t>University of North Carolina at Charlotte</t>
  </si>
  <si>
    <t>Charlotte, United States</t>
  </si>
  <si>
    <t>University of Northern British Columbia</t>
  </si>
  <si>
    <t>Prince George,, Canada</t>
  </si>
  <si>
    <t>University of Novi Sad</t>
  </si>
  <si>
    <t>Novi Sad, Serbia</t>
  </si>
  <si>
    <t>University of Ostrava</t>
  </si>
  <si>
    <t>University of Passau</t>
  </si>
  <si>
    <t>Passau, Germany</t>
  </si>
  <si>
    <t>University of Peradeniya</t>
  </si>
  <si>
    <t>Peradeniya, Sri Lanka</t>
  </si>
  <si>
    <t>University of Primorska</t>
  </si>
  <si>
    <t>Koper, Slovenia</t>
  </si>
  <si>
    <t>University of Rijeka</t>
  </si>
  <si>
    <t>Rijeka, Croatia</t>
  </si>
  <si>
    <t>University of San Francisco</t>
  </si>
  <si>
    <t>San Francisco, United States</t>
  </si>
  <si>
    <t>University of Silesia in Katowice</t>
  </si>
  <si>
    <t>Katowice, Poland</t>
  </si>
  <si>
    <t>University of South Wales</t>
  </si>
  <si>
    <t>Pontypridd, United Kingdom</t>
  </si>
  <si>
    <t>University of Split</t>
  </si>
  <si>
    <t>Split, Croatia</t>
  </si>
  <si>
    <t>University of Texas El Paso</t>
  </si>
  <si>
    <t>El Paso, United States</t>
  </si>
  <si>
    <t>University of the Aegean</t>
  </si>
  <si>
    <t>Mytilene, Greece</t>
  </si>
  <si>
    <t>University of Thessaly</t>
  </si>
  <si>
    <t>Volos, Greece</t>
  </si>
  <si>
    <t>University of Toledo</t>
  </si>
  <si>
    <t>Toledo, United States</t>
  </si>
  <si>
    <t>University of Tunis</t>
  </si>
  <si>
    <t>University of Warmia and Mazury in Olsztyn</t>
  </si>
  <si>
    <t>Olsztyn, Poland</t>
  </si>
  <si>
    <t>University of Wisconsin Milwaukee</t>
  </si>
  <si>
    <t>Milwaukee, United States</t>
  </si>
  <si>
    <t>University of Zilina</t>
  </si>
  <si>
    <t>Zilina, Slovakia</t>
  </si>
  <si>
    <t>Utah State University</t>
  </si>
  <si>
    <t>Logan, United States</t>
  </si>
  <si>
    <t>Warsaw University of Life Sciences SGGW (WULS-SGGW)</t>
  </si>
  <si>
    <t>Western Michigan University</t>
  </si>
  <si>
    <t>Kalamazoo, United States</t>
  </si>
  <si>
    <t>Zagazig University</t>
  </si>
  <si>
    <t>Zagazig, Egypt</t>
  </si>
  <si>
    <t>Zhejiang Sci-tech University</t>
  </si>
  <si>
    <t>Zhejiang, China (Mainland)</t>
  </si>
  <si>
    <t>1401+</t>
  </si>
  <si>
    <t>Akdeniz Üniversitesi</t>
  </si>
  <si>
    <t>Antalya, Türkiye</t>
  </si>
  <si>
    <t>American International University-Bangladesh (AIUB)</t>
  </si>
  <si>
    <t>Beijing University of Chinese Medicine</t>
  </si>
  <si>
    <t>Benemerita Universidad Autonoma de Puebla</t>
  </si>
  <si>
    <t>Puebla, Mexico</t>
  </si>
  <si>
    <t>Benha University - Egypt</t>
  </si>
  <si>
    <t>Benha, Egypt</t>
  </si>
  <si>
    <t>California Polytechnic State University</t>
  </si>
  <si>
    <t>San Luis Obispo, United States</t>
  </si>
  <si>
    <t>Can Tho University</t>
  </si>
  <si>
    <t>Can Tho, Vietnam</t>
  </si>
  <si>
    <t>Canterbury Christ Church University</t>
  </si>
  <si>
    <t>China University of Political Science and Law</t>
  </si>
  <si>
    <t>Chittagong University of Engineering and Technology</t>
  </si>
  <si>
    <t>Chittagong, Bangladesh</t>
  </si>
  <si>
    <t>Cukurova University</t>
  </si>
  <si>
    <t>Adana, Türkiye</t>
  </si>
  <si>
    <t>DePaul University</t>
  </si>
  <si>
    <t>Escuela Politécnica Nacional</t>
  </si>
  <si>
    <t>Feng Chia University</t>
  </si>
  <si>
    <t>Georgian Technical University</t>
  </si>
  <si>
    <t>Ho Chi Minh City University of Technology (HUTECH)</t>
  </si>
  <si>
    <t>Ho Chi Minh, Vietnam</t>
  </si>
  <si>
    <t>I. Razzakov Kyrgyz State Technical University.</t>
  </si>
  <si>
    <t>Islamic Azad University.</t>
  </si>
  <si>
    <t>Islamic University of Technology.</t>
  </si>
  <si>
    <t>Gazipur, Bangladesh</t>
  </si>
  <si>
    <t>Jahangirnagar University.</t>
  </si>
  <si>
    <t>Jamia Hamdard</t>
  </si>
  <si>
    <t>Karadeniz Technical University.</t>
  </si>
  <si>
    <t>Trabzon, Türkiye</t>
  </si>
  <si>
    <t>Kazakh Ablai Khan University of International Relations and World Languages</t>
  </si>
  <si>
    <t>Khulna University of Engineering and Technology</t>
  </si>
  <si>
    <t>Khulna, Bangladesh</t>
  </si>
  <si>
    <t>King Mongkut's University of Technology North Bangkok (KMUTNB).</t>
  </si>
  <si>
    <t>Kyoto Institute of Technology.</t>
  </si>
  <si>
    <t>Lublin University of Technology</t>
  </si>
  <si>
    <t>Lublin, Poland</t>
  </si>
  <si>
    <t>Marquette University.</t>
  </si>
  <si>
    <t>Meiji University</t>
  </si>
  <si>
    <t>National Chinyi University of Technology</t>
  </si>
  <si>
    <t>National Dong Hwa University</t>
  </si>
  <si>
    <t>Hualien, Taiwan</t>
  </si>
  <si>
    <t>National Research University Moscow Power Engineering Institute (MPEI)</t>
  </si>
  <si>
    <t>Nelson Mandela University</t>
  </si>
  <si>
    <t>Port Elizabeth, South Africa</t>
  </si>
  <si>
    <t>Obafemi Awolowo University</t>
  </si>
  <si>
    <t>Osun State, Nigeria</t>
  </si>
  <si>
    <t>Pondicherry University</t>
  </si>
  <si>
    <t>Puducherry, India</t>
  </si>
  <si>
    <t>Pontificia Universidad Católica Madre y Maestra (PUCMM)</t>
  </si>
  <si>
    <t>Santiago de los Caballeros, Dominican Republic</t>
  </si>
  <si>
    <t>Pontifícia Universidade Católica do Rio Grande do Sul, PUCRS</t>
  </si>
  <si>
    <t>Sakarya University</t>
  </si>
  <si>
    <t>Adapazari, Türkiye</t>
  </si>
  <si>
    <t>Shahjalal University of Science and Technology</t>
  </si>
  <si>
    <t>Sylhet, Bangladesh</t>
  </si>
  <si>
    <t>Shanghai International Studies University</t>
  </si>
  <si>
    <t>Shanghai Normal University</t>
  </si>
  <si>
    <t>Silpakorn University</t>
  </si>
  <si>
    <t>Suranaree University of Technology</t>
  </si>
  <si>
    <t>Nakhon Ratchasima , Thailand</t>
  </si>
  <si>
    <t>Tanta University</t>
  </si>
  <si>
    <t>Tanta, Egypt</t>
  </si>
  <si>
    <t>Technical University of Cluj-Napoca</t>
  </si>
  <si>
    <t>Technical University of Sofia</t>
  </si>
  <si>
    <t>Sofia, Bulgaria</t>
  </si>
  <si>
    <t>The Islamia University of Bahawalpur,Pakistan</t>
  </si>
  <si>
    <t>Bahawalpur, Pakistan</t>
  </si>
  <si>
    <t>The University of Georgia, Tbilisi</t>
  </si>
  <si>
    <t>Tbilisi City, Georgia</t>
  </si>
  <si>
    <t>Tokai University</t>
  </si>
  <si>
    <t>Hiratsuka City, Japan</t>
  </si>
  <si>
    <t>Toraighyrov University</t>
  </si>
  <si>
    <t>Pavlodar, Kazakhstan</t>
  </si>
  <si>
    <t>Universidad Autónoma de Guadalajara (UAG)</t>
  </si>
  <si>
    <t>Universidad de La Laguna</t>
  </si>
  <si>
    <t>San Cristóbal de La Laguna, Spain</t>
  </si>
  <si>
    <t>Universidad de San Carlos de Guatemala</t>
  </si>
  <si>
    <t>Universidad de Tarapaca</t>
  </si>
  <si>
    <t>Arica, Chile</t>
  </si>
  <si>
    <t>Universidad de Valparaíso (UV)</t>
  </si>
  <si>
    <t>Universidad Nacional del Centro de la Provincia de Buenos Aires (UNICEN)</t>
  </si>
  <si>
    <t>Tandil, Argentina</t>
  </si>
  <si>
    <t>Universidad Nacional del Litoral</t>
  </si>
  <si>
    <t>Santa Fe, Argentina</t>
  </si>
  <si>
    <t>Universidad Peruana de Ciencias Aplicadas (UPC)</t>
  </si>
  <si>
    <t>Monterrico, Peru</t>
  </si>
  <si>
    <t>Universidad Tecnológica Centroamericana (UNITEC)</t>
  </si>
  <si>
    <t>Tegucigalpa, Honduras</t>
  </si>
  <si>
    <t>Universidad Tecnológica Nacional (UTN)</t>
  </si>
  <si>
    <t>Capital Federal, Argentina</t>
  </si>
  <si>
    <t>Universidade Federal de Santa Maria</t>
  </si>
  <si>
    <t>Santa Maria, Brazil</t>
  </si>
  <si>
    <t>Universidade Federal de Viçosa (UFV)</t>
  </si>
  <si>
    <t>Viçosa, Brazil</t>
  </si>
  <si>
    <t>Universidade Federal do Ceará (UFC)</t>
  </si>
  <si>
    <t>Fortaleza, Brazil</t>
  </si>
  <si>
    <t>Universidade Presbiteriana Mackenzie</t>
  </si>
  <si>
    <t>Universitas Andalas</t>
  </si>
  <si>
    <t>Padang, Indonesia</t>
  </si>
  <si>
    <t>Universitas Negeri Padang</t>
  </si>
  <si>
    <t>Universitas Negeri Yogyakarta</t>
  </si>
  <si>
    <t>Universitas Pendidikan Indonesia</t>
  </si>
  <si>
    <t>Bandung , Indonesia</t>
  </si>
  <si>
    <t>Universitas Trisakti (USAKTI)</t>
  </si>
  <si>
    <t>Jakarta Barat,, Indonesia</t>
  </si>
  <si>
    <t>Universität Trier</t>
  </si>
  <si>
    <t>Trier, Germany</t>
  </si>
  <si>
    <t>Université de Limoges</t>
  </si>
  <si>
    <t>Limoges, France</t>
  </si>
  <si>
    <t>Université de Rouen</t>
  </si>
  <si>
    <t>Rouen, France</t>
  </si>
  <si>
    <t>Universiti Kuala Lumpur (UniKL)</t>
  </si>
  <si>
    <t>KUALA LUMPUR, Malaysia</t>
  </si>
  <si>
    <t>Universiti Malaysia Kelantan</t>
  </si>
  <si>
    <t>Bachok, Malaysia</t>
  </si>
  <si>
    <t>University of Augsburg</t>
  </si>
  <si>
    <t>Augsburg, Germany</t>
  </si>
  <si>
    <t>University of International Business and Economics</t>
  </si>
  <si>
    <t>University of Kaiserslautern-Landau (RPTU)</t>
  </si>
  <si>
    <t>Kaiserslautern, Germany</t>
  </si>
  <si>
    <t>University of Kerbala</t>
  </si>
  <si>
    <t>Karbala, Iraq</t>
  </si>
  <si>
    <t>University of Kufa</t>
  </si>
  <si>
    <t>Kufa, Iraq</t>
  </si>
  <si>
    <t>University of Miskolc</t>
  </si>
  <si>
    <t>Miskolc, Hungary</t>
  </si>
  <si>
    <t>University of Moratuwa</t>
  </si>
  <si>
    <t>Moratuwa, Sri Lanka</t>
  </si>
  <si>
    <t>University of Pardubice</t>
  </si>
  <si>
    <t>Pardubice, Czechia</t>
  </si>
  <si>
    <t>University of Petra</t>
  </si>
  <si>
    <t>University of San Diego</t>
  </si>
  <si>
    <t>University of Sarajevo</t>
  </si>
  <si>
    <t>Sarajevo, Bosnia &amp; Herzegovina</t>
  </si>
  <si>
    <t>University of Sri Jayewardenapura</t>
  </si>
  <si>
    <t>Nugegoda, Sri Lanka</t>
  </si>
  <si>
    <t>University of Tyumen</t>
  </si>
  <si>
    <t>Tyumen, Russia</t>
  </si>
  <si>
    <t>Walailak University</t>
  </si>
  <si>
    <t>Thasala, Thailand</t>
  </si>
  <si>
    <t>Yessenov University</t>
  </si>
  <si>
    <t>Aktau, Kazakhstan</t>
  </si>
  <si>
    <t>Zarqa University (ZU)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</si>
</sst>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4"/>
  <sheetViews>
    <sheetView tabSelected="1" workbookViewId="0">
      <selection activeCell="J6" sqref="J6"/>
    </sheetView>
  </sheetViews>
  <sheetFormatPr defaultRowHeight="14.5" x14ac:dyDescent="0.35"/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0</v>
      </c>
      <c r="B2">
        <v>1</v>
      </c>
      <c r="C2" t="s">
        <v>7</v>
      </c>
      <c r="D2" t="s">
        <v>8</v>
      </c>
      <c r="E2">
        <v>100</v>
      </c>
      <c r="F2">
        <v>100</v>
      </c>
      <c r="G2">
        <v>100</v>
      </c>
      <c r="H2">
        <v>100</v>
      </c>
    </row>
    <row r="3" spans="1:8" x14ac:dyDescent="0.35">
      <c r="A3">
        <v>1</v>
      </c>
      <c r="B3">
        <f>2</f>
        <v>2</v>
      </c>
      <c r="C3" t="s">
        <v>9</v>
      </c>
      <c r="D3" t="s">
        <v>10</v>
      </c>
      <c r="E3">
        <v>93.8</v>
      </c>
      <c r="F3">
        <v>99.6</v>
      </c>
      <c r="G3">
        <v>98.9</v>
      </c>
      <c r="H3">
        <v>100</v>
      </c>
    </row>
    <row r="4" spans="1:8" x14ac:dyDescent="0.35">
      <c r="A4">
        <v>2</v>
      </c>
      <c r="B4">
        <f>2</f>
        <v>2</v>
      </c>
      <c r="C4" t="s">
        <v>11</v>
      </c>
      <c r="D4" t="s">
        <v>12</v>
      </c>
      <c r="E4">
        <v>98.8</v>
      </c>
      <c r="F4">
        <v>100</v>
      </c>
      <c r="G4">
        <v>100</v>
      </c>
      <c r="H4">
        <v>100</v>
      </c>
    </row>
    <row r="5" spans="1:8" x14ac:dyDescent="0.35">
      <c r="A5">
        <v>3</v>
      </c>
      <c r="B5">
        <v>4</v>
      </c>
      <c r="C5" t="s">
        <v>13</v>
      </c>
      <c r="D5" t="s">
        <v>14</v>
      </c>
      <c r="E5">
        <v>89</v>
      </c>
      <c r="F5">
        <v>100</v>
      </c>
      <c r="G5">
        <v>100</v>
      </c>
      <c r="H5">
        <v>100</v>
      </c>
    </row>
    <row r="6" spans="1:8" x14ac:dyDescent="0.35">
      <c r="A6">
        <v>4</v>
      </c>
      <c r="B6">
        <v>5</v>
      </c>
      <c r="C6" t="s">
        <v>15</v>
      </c>
      <c r="D6" t="s">
        <v>8</v>
      </c>
      <c r="E6">
        <v>100</v>
      </c>
      <c r="F6">
        <v>100</v>
      </c>
      <c r="G6">
        <v>97.4</v>
      </c>
      <c r="H6">
        <v>100</v>
      </c>
    </row>
    <row r="7" spans="1:8" x14ac:dyDescent="0.35">
      <c r="A7">
        <v>5</v>
      </c>
      <c r="B7">
        <v>6</v>
      </c>
      <c r="C7" t="s">
        <v>16</v>
      </c>
      <c r="D7" t="s">
        <v>17</v>
      </c>
      <c r="E7">
        <v>87.4</v>
      </c>
      <c r="F7">
        <v>100</v>
      </c>
      <c r="G7">
        <v>100</v>
      </c>
      <c r="H7">
        <v>100</v>
      </c>
    </row>
    <row r="8" spans="1:8" x14ac:dyDescent="0.35">
      <c r="A8">
        <v>6</v>
      </c>
      <c r="B8">
        <v>7</v>
      </c>
      <c r="C8" t="s">
        <v>18</v>
      </c>
      <c r="D8" t="s">
        <v>19</v>
      </c>
      <c r="E8">
        <v>100</v>
      </c>
      <c r="F8">
        <v>97.4</v>
      </c>
      <c r="G8">
        <v>100</v>
      </c>
      <c r="H8">
        <v>99.6</v>
      </c>
    </row>
    <row r="9" spans="1:8" x14ac:dyDescent="0.35">
      <c r="A9">
        <v>7</v>
      </c>
      <c r="B9">
        <f>8</f>
        <v>8</v>
      </c>
      <c r="C9" t="s">
        <v>20</v>
      </c>
      <c r="D9" t="s">
        <v>21</v>
      </c>
      <c r="E9">
        <v>98.8</v>
      </c>
      <c r="F9">
        <v>99.8</v>
      </c>
      <c r="G9">
        <v>65</v>
      </c>
      <c r="H9">
        <v>97.7</v>
      </c>
    </row>
    <row r="10" spans="1:8" x14ac:dyDescent="0.35">
      <c r="A10">
        <v>8</v>
      </c>
      <c r="B10">
        <f>8</f>
        <v>8</v>
      </c>
      <c r="C10" t="s">
        <v>22</v>
      </c>
      <c r="D10" t="s">
        <v>10</v>
      </c>
      <c r="E10">
        <v>86.1</v>
      </c>
      <c r="F10">
        <v>99.9</v>
      </c>
      <c r="G10">
        <v>90.3</v>
      </c>
      <c r="H10">
        <v>99.7</v>
      </c>
    </row>
    <row r="11" spans="1:8" x14ac:dyDescent="0.35">
      <c r="A11">
        <v>9</v>
      </c>
      <c r="B11">
        <v>10</v>
      </c>
      <c r="C11" t="s">
        <v>23</v>
      </c>
      <c r="D11" t="s">
        <v>24</v>
      </c>
      <c r="E11">
        <v>93.5</v>
      </c>
      <c r="F11">
        <v>100</v>
      </c>
      <c r="G11">
        <v>75.3</v>
      </c>
      <c r="H11">
        <v>99.1</v>
      </c>
    </row>
    <row r="12" spans="1:8" x14ac:dyDescent="0.35">
      <c r="A12">
        <v>10</v>
      </c>
      <c r="B12">
        <v>11</v>
      </c>
      <c r="C12" t="s">
        <v>25</v>
      </c>
      <c r="D12" t="s">
        <v>26</v>
      </c>
      <c r="E12">
        <v>98.7</v>
      </c>
      <c r="F12">
        <v>99.3</v>
      </c>
      <c r="G12">
        <v>85</v>
      </c>
      <c r="H12">
        <v>88</v>
      </c>
    </row>
    <row r="13" spans="1:8" x14ac:dyDescent="0.35">
      <c r="A13">
        <v>11</v>
      </c>
      <c r="B13">
        <v>12</v>
      </c>
      <c r="C13" t="s">
        <v>27</v>
      </c>
      <c r="D13" t="s">
        <v>24</v>
      </c>
      <c r="E13">
        <v>90.1</v>
      </c>
      <c r="F13">
        <v>98</v>
      </c>
      <c r="G13">
        <v>82.8</v>
      </c>
      <c r="H13">
        <v>95.1</v>
      </c>
    </row>
    <row r="14" spans="1:8" x14ac:dyDescent="0.35">
      <c r="A14">
        <v>12</v>
      </c>
      <c r="B14">
        <v>13</v>
      </c>
      <c r="C14" t="s">
        <v>28</v>
      </c>
      <c r="D14" t="s">
        <v>29</v>
      </c>
      <c r="E14">
        <v>99.2</v>
      </c>
      <c r="F14">
        <v>99.9</v>
      </c>
      <c r="G14">
        <v>96.3</v>
      </c>
      <c r="H14">
        <v>99.8</v>
      </c>
    </row>
    <row r="15" spans="1:8" x14ac:dyDescent="0.35">
      <c r="A15">
        <v>13</v>
      </c>
      <c r="B15">
        <v>14</v>
      </c>
      <c r="C15" t="s">
        <v>30</v>
      </c>
      <c r="D15" t="s">
        <v>29</v>
      </c>
      <c r="E15">
        <v>99.8</v>
      </c>
      <c r="F15">
        <v>99.9</v>
      </c>
      <c r="G15">
        <v>96.8</v>
      </c>
      <c r="H15">
        <v>99.9</v>
      </c>
    </row>
    <row r="16" spans="1:8" x14ac:dyDescent="0.35">
      <c r="A16">
        <v>14</v>
      </c>
      <c r="B16">
        <v>15</v>
      </c>
      <c r="C16" t="s">
        <v>31</v>
      </c>
      <c r="D16" t="s">
        <v>32</v>
      </c>
      <c r="E16">
        <v>68.3</v>
      </c>
      <c r="F16">
        <v>98.9</v>
      </c>
      <c r="G16">
        <v>99.9</v>
      </c>
      <c r="H16">
        <v>99.3</v>
      </c>
    </row>
    <row r="17" spans="1:8" x14ac:dyDescent="0.35">
      <c r="A17">
        <v>15</v>
      </c>
      <c r="B17">
        <f>16</f>
        <v>16</v>
      </c>
      <c r="C17" t="s">
        <v>33</v>
      </c>
      <c r="D17" t="s">
        <v>34</v>
      </c>
      <c r="E17">
        <v>96.8</v>
      </c>
      <c r="F17">
        <v>99.4</v>
      </c>
      <c r="G17">
        <v>63.6</v>
      </c>
      <c r="H17">
        <v>99.3</v>
      </c>
    </row>
    <row r="18" spans="1:8" x14ac:dyDescent="0.35">
      <c r="A18">
        <v>16</v>
      </c>
      <c r="B18">
        <f>16</f>
        <v>16</v>
      </c>
      <c r="C18" t="s">
        <v>35</v>
      </c>
      <c r="D18" t="s">
        <v>36</v>
      </c>
      <c r="E18">
        <v>73.400000000000006</v>
      </c>
      <c r="F18">
        <v>100</v>
      </c>
      <c r="G18">
        <v>100</v>
      </c>
      <c r="H18">
        <v>100</v>
      </c>
    </row>
    <row r="19" spans="1:8" x14ac:dyDescent="0.35">
      <c r="A19">
        <v>17</v>
      </c>
      <c r="B19">
        <v>18</v>
      </c>
      <c r="C19" t="s">
        <v>37</v>
      </c>
      <c r="D19" t="s">
        <v>26</v>
      </c>
      <c r="E19">
        <v>95.9</v>
      </c>
      <c r="F19">
        <v>94.4</v>
      </c>
      <c r="G19">
        <v>79.900000000000006</v>
      </c>
      <c r="H19">
        <v>75.5</v>
      </c>
    </row>
    <row r="20" spans="1:8" x14ac:dyDescent="0.35">
      <c r="A20">
        <v>18</v>
      </c>
      <c r="B20">
        <v>19</v>
      </c>
      <c r="C20" t="s">
        <v>38</v>
      </c>
      <c r="D20" t="s">
        <v>39</v>
      </c>
      <c r="E20">
        <v>94.4</v>
      </c>
      <c r="F20">
        <v>96.5</v>
      </c>
      <c r="G20">
        <v>24.8</v>
      </c>
      <c r="H20">
        <v>94.3</v>
      </c>
    </row>
    <row r="21" spans="1:8" x14ac:dyDescent="0.35">
      <c r="A21">
        <v>19</v>
      </c>
      <c r="B21">
        <f>20</f>
        <v>20</v>
      </c>
      <c r="C21" t="s">
        <v>40</v>
      </c>
      <c r="D21" t="s">
        <v>41</v>
      </c>
      <c r="E21">
        <v>83</v>
      </c>
      <c r="F21">
        <v>92.6</v>
      </c>
      <c r="G21">
        <v>100</v>
      </c>
      <c r="H21">
        <v>82.3</v>
      </c>
    </row>
    <row r="22" spans="1:8" x14ac:dyDescent="0.35">
      <c r="A22">
        <v>20</v>
      </c>
      <c r="B22">
        <f>20</f>
        <v>20</v>
      </c>
      <c r="C22" t="s">
        <v>42</v>
      </c>
      <c r="D22" t="s">
        <v>43</v>
      </c>
      <c r="E22">
        <v>92.3</v>
      </c>
      <c r="F22">
        <v>100</v>
      </c>
      <c r="G22">
        <v>29.3</v>
      </c>
      <c r="H22">
        <v>100</v>
      </c>
    </row>
    <row r="23" spans="1:8" x14ac:dyDescent="0.35">
      <c r="A23">
        <v>21</v>
      </c>
      <c r="B23">
        <f>22</f>
        <v>22</v>
      </c>
      <c r="C23" t="s">
        <v>44</v>
      </c>
      <c r="D23" t="s">
        <v>45</v>
      </c>
      <c r="E23">
        <v>90.1</v>
      </c>
      <c r="F23">
        <v>93.2</v>
      </c>
      <c r="G23">
        <v>84.8</v>
      </c>
      <c r="H23">
        <v>87.4</v>
      </c>
    </row>
    <row r="24" spans="1:8" x14ac:dyDescent="0.35">
      <c r="A24">
        <v>22</v>
      </c>
      <c r="B24">
        <f>22</f>
        <v>22</v>
      </c>
      <c r="C24" t="s">
        <v>46</v>
      </c>
      <c r="D24" t="s">
        <v>47</v>
      </c>
      <c r="E24">
        <v>89.9</v>
      </c>
      <c r="F24">
        <v>99.7</v>
      </c>
      <c r="G24">
        <v>17.899999999999999</v>
      </c>
      <c r="H24">
        <v>98.3</v>
      </c>
    </row>
    <row r="25" spans="1:8" x14ac:dyDescent="0.35">
      <c r="A25">
        <v>23</v>
      </c>
      <c r="B25">
        <v>24</v>
      </c>
      <c r="C25" t="s">
        <v>48</v>
      </c>
      <c r="D25" t="s">
        <v>49</v>
      </c>
      <c r="E25">
        <v>60.9</v>
      </c>
      <c r="F25">
        <v>99.7</v>
      </c>
      <c r="G25">
        <v>97.5</v>
      </c>
      <c r="H25">
        <v>98.6</v>
      </c>
    </row>
    <row r="26" spans="1:8" x14ac:dyDescent="0.35">
      <c r="A26">
        <v>24</v>
      </c>
      <c r="B26">
        <v>25</v>
      </c>
      <c r="C26" t="s">
        <v>50</v>
      </c>
      <c r="D26" t="s">
        <v>51</v>
      </c>
      <c r="E26">
        <v>92.9</v>
      </c>
      <c r="F26">
        <v>92.6</v>
      </c>
      <c r="G26">
        <v>57.4</v>
      </c>
      <c r="H26">
        <v>99.5</v>
      </c>
    </row>
    <row r="27" spans="1:8" x14ac:dyDescent="0.35">
      <c r="A27">
        <v>25</v>
      </c>
      <c r="B27">
        <v>26</v>
      </c>
      <c r="C27" t="s">
        <v>52</v>
      </c>
      <c r="D27" t="s">
        <v>53</v>
      </c>
      <c r="E27">
        <v>94.9</v>
      </c>
      <c r="F27">
        <v>94.3</v>
      </c>
      <c r="G27">
        <v>83.1</v>
      </c>
      <c r="H27">
        <v>97.1</v>
      </c>
    </row>
    <row r="28" spans="1:8" x14ac:dyDescent="0.35">
      <c r="A28">
        <v>26</v>
      </c>
      <c r="B28">
        <v>27</v>
      </c>
      <c r="C28" t="s">
        <v>54</v>
      </c>
      <c r="D28" t="s">
        <v>55</v>
      </c>
      <c r="E28">
        <v>100</v>
      </c>
      <c r="F28">
        <v>100</v>
      </c>
      <c r="G28">
        <v>64.099999999999994</v>
      </c>
      <c r="H28">
        <v>99.9</v>
      </c>
    </row>
    <row r="29" spans="1:8" x14ac:dyDescent="0.35">
      <c r="A29">
        <v>27</v>
      </c>
      <c r="B29">
        <v>28</v>
      </c>
      <c r="C29" t="s">
        <v>56</v>
      </c>
      <c r="D29" t="s">
        <v>39</v>
      </c>
      <c r="E29">
        <v>90.3</v>
      </c>
      <c r="F29">
        <v>99</v>
      </c>
      <c r="G29">
        <v>14.3</v>
      </c>
      <c r="H29">
        <v>95.5</v>
      </c>
    </row>
    <row r="30" spans="1:8" x14ac:dyDescent="0.35">
      <c r="A30">
        <v>28</v>
      </c>
      <c r="B30">
        <v>29</v>
      </c>
      <c r="C30" t="s">
        <v>57</v>
      </c>
      <c r="D30" t="s">
        <v>58</v>
      </c>
      <c r="E30">
        <v>89.1</v>
      </c>
      <c r="F30">
        <v>97.9</v>
      </c>
      <c r="G30">
        <v>41.3</v>
      </c>
      <c r="H30">
        <v>84.9</v>
      </c>
    </row>
    <row r="31" spans="1:8" x14ac:dyDescent="0.35">
      <c r="A31">
        <v>29</v>
      </c>
      <c r="B31">
        <v>30</v>
      </c>
      <c r="C31" t="s">
        <v>59</v>
      </c>
      <c r="D31" t="s">
        <v>60</v>
      </c>
      <c r="E31">
        <v>64.8</v>
      </c>
      <c r="F31">
        <v>98.2</v>
      </c>
      <c r="G31">
        <v>64.900000000000006</v>
      </c>
      <c r="H31">
        <v>95.9</v>
      </c>
    </row>
    <row r="32" spans="1:8" x14ac:dyDescent="0.35">
      <c r="A32">
        <v>30</v>
      </c>
      <c r="B32">
        <v>31</v>
      </c>
      <c r="C32" t="s">
        <v>61</v>
      </c>
      <c r="D32" t="s">
        <v>47</v>
      </c>
      <c r="E32">
        <v>97.5</v>
      </c>
      <c r="F32">
        <v>96.2</v>
      </c>
      <c r="G32">
        <v>8.3000000000000007</v>
      </c>
      <c r="H32">
        <v>91.5</v>
      </c>
    </row>
    <row r="33" spans="1:8" x14ac:dyDescent="0.35">
      <c r="A33">
        <v>31</v>
      </c>
      <c r="B33">
        <v>32</v>
      </c>
      <c r="C33" t="s">
        <v>62</v>
      </c>
      <c r="D33" t="s">
        <v>63</v>
      </c>
      <c r="E33">
        <v>64.5</v>
      </c>
      <c r="F33">
        <v>100</v>
      </c>
      <c r="G33">
        <v>38</v>
      </c>
      <c r="H33">
        <v>99.5</v>
      </c>
    </row>
    <row r="34" spans="1:8" x14ac:dyDescent="0.35">
      <c r="A34">
        <v>32</v>
      </c>
      <c r="B34">
        <v>33</v>
      </c>
      <c r="C34" t="s">
        <v>64</v>
      </c>
      <c r="D34" t="s">
        <v>26</v>
      </c>
      <c r="E34">
        <v>100</v>
      </c>
      <c r="F34">
        <v>89.9</v>
      </c>
      <c r="G34">
        <v>70.2</v>
      </c>
      <c r="H34">
        <v>73.8</v>
      </c>
    </row>
    <row r="35" spans="1:8" x14ac:dyDescent="0.35">
      <c r="A35">
        <v>33</v>
      </c>
      <c r="B35">
        <v>34</v>
      </c>
      <c r="C35" t="s">
        <v>65</v>
      </c>
      <c r="D35" t="s">
        <v>66</v>
      </c>
      <c r="E35">
        <v>78.900000000000006</v>
      </c>
      <c r="F35">
        <v>80.099999999999994</v>
      </c>
      <c r="G35">
        <v>98.7</v>
      </c>
      <c r="H35">
        <v>97.3</v>
      </c>
    </row>
    <row r="36" spans="1:8" x14ac:dyDescent="0.35">
      <c r="A36">
        <v>34</v>
      </c>
      <c r="B36">
        <v>35</v>
      </c>
      <c r="C36" t="s">
        <v>67</v>
      </c>
      <c r="D36" t="s">
        <v>68</v>
      </c>
      <c r="E36">
        <v>46.9</v>
      </c>
      <c r="F36">
        <v>99.6</v>
      </c>
      <c r="G36">
        <v>81.900000000000006</v>
      </c>
      <c r="H36">
        <v>98.4</v>
      </c>
    </row>
    <row r="37" spans="1:8" x14ac:dyDescent="0.35">
      <c r="A37">
        <v>35</v>
      </c>
      <c r="B37">
        <v>36</v>
      </c>
      <c r="C37" t="s">
        <v>69</v>
      </c>
      <c r="D37" t="s">
        <v>53</v>
      </c>
      <c r="E37">
        <v>100</v>
      </c>
      <c r="F37">
        <v>93.4</v>
      </c>
      <c r="G37">
        <v>66.599999999999994</v>
      </c>
      <c r="H37">
        <v>96.3</v>
      </c>
    </row>
    <row r="38" spans="1:8" x14ac:dyDescent="0.35">
      <c r="A38">
        <v>36</v>
      </c>
      <c r="B38">
        <v>37</v>
      </c>
      <c r="C38" t="s">
        <v>70</v>
      </c>
      <c r="D38" t="s">
        <v>10</v>
      </c>
      <c r="E38">
        <v>59.9</v>
      </c>
      <c r="F38">
        <v>96.3</v>
      </c>
      <c r="G38">
        <v>69.599999999999994</v>
      </c>
      <c r="H38">
        <v>92.8</v>
      </c>
    </row>
    <row r="39" spans="1:8" x14ac:dyDescent="0.35">
      <c r="A39">
        <v>37</v>
      </c>
      <c r="B39">
        <v>38</v>
      </c>
      <c r="C39" t="s">
        <v>71</v>
      </c>
      <c r="D39" t="s">
        <v>72</v>
      </c>
      <c r="E39">
        <v>80.7</v>
      </c>
      <c r="F39">
        <v>99.7</v>
      </c>
      <c r="G39">
        <v>84.7</v>
      </c>
      <c r="H39">
        <v>99.1</v>
      </c>
    </row>
    <row r="40" spans="1:8" x14ac:dyDescent="0.35">
      <c r="A40">
        <v>38</v>
      </c>
      <c r="B40">
        <v>39</v>
      </c>
      <c r="C40" t="s">
        <v>73</v>
      </c>
      <c r="D40" t="s">
        <v>74</v>
      </c>
      <c r="E40">
        <v>64.599999999999994</v>
      </c>
      <c r="F40">
        <v>100</v>
      </c>
      <c r="G40">
        <v>91.1</v>
      </c>
      <c r="H40">
        <v>99.9</v>
      </c>
    </row>
    <row r="41" spans="1:8" x14ac:dyDescent="0.35">
      <c r="A41">
        <v>39</v>
      </c>
      <c r="B41">
        <f>40</f>
        <v>40</v>
      </c>
      <c r="C41" t="s">
        <v>75</v>
      </c>
      <c r="D41" t="s">
        <v>76</v>
      </c>
      <c r="E41">
        <v>48.8</v>
      </c>
      <c r="F41">
        <v>98.5</v>
      </c>
      <c r="G41">
        <v>61.3</v>
      </c>
      <c r="H41">
        <v>98.5</v>
      </c>
    </row>
    <row r="42" spans="1:8" x14ac:dyDescent="0.35">
      <c r="A42">
        <v>40</v>
      </c>
      <c r="B42">
        <f>40</f>
        <v>40</v>
      </c>
      <c r="C42" t="s">
        <v>77</v>
      </c>
      <c r="D42" t="s">
        <v>78</v>
      </c>
      <c r="E42">
        <v>92.2</v>
      </c>
      <c r="F42">
        <v>94.7</v>
      </c>
      <c r="G42">
        <v>22.4</v>
      </c>
      <c r="H42">
        <v>83.2</v>
      </c>
    </row>
    <row r="43" spans="1:8" x14ac:dyDescent="0.35">
      <c r="A43">
        <v>41</v>
      </c>
      <c r="B43">
        <v>42</v>
      </c>
      <c r="C43" t="s">
        <v>79</v>
      </c>
      <c r="D43" t="s">
        <v>72</v>
      </c>
      <c r="E43">
        <v>74.2</v>
      </c>
      <c r="F43">
        <v>92.4</v>
      </c>
      <c r="G43">
        <v>84</v>
      </c>
      <c r="H43">
        <v>95.3</v>
      </c>
    </row>
    <row r="44" spans="1:8" x14ac:dyDescent="0.35">
      <c r="A44">
        <v>42</v>
      </c>
      <c r="B44">
        <f>43</f>
        <v>43</v>
      </c>
      <c r="C44" t="s">
        <v>80</v>
      </c>
      <c r="D44" t="s">
        <v>81</v>
      </c>
      <c r="E44">
        <v>37.700000000000003</v>
      </c>
      <c r="F44">
        <v>99.9</v>
      </c>
      <c r="G44">
        <v>100</v>
      </c>
      <c r="H44">
        <v>99.9</v>
      </c>
    </row>
    <row r="45" spans="1:8" x14ac:dyDescent="0.35">
      <c r="A45">
        <v>43</v>
      </c>
      <c r="B45">
        <f>43</f>
        <v>43</v>
      </c>
      <c r="C45" t="s">
        <v>82</v>
      </c>
      <c r="D45" t="s">
        <v>66</v>
      </c>
      <c r="E45">
        <v>89.5</v>
      </c>
      <c r="F45">
        <v>57</v>
      </c>
      <c r="G45">
        <v>96.5</v>
      </c>
      <c r="H45">
        <v>99.3</v>
      </c>
    </row>
    <row r="46" spans="1:8" x14ac:dyDescent="0.35">
      <c r="A46">
        <v>44</v>
      </c>
      <c r="B46">
        <f>45</f>
        <v>45</v>
      </c>
      <c r="C46" t="s">
        <v>83</v>
      </c>
      <c r="D46" t="s">
        <v>84</v>
      </c>
      <c r="E46">
        <v>63.8</v>
      </c>
      <c r="F46">
        <v>92.5</v>
      </c>
      <c r="G46">
        <v>99.5</v>
      </c>
      <c r="H46">
        <v>91.8</v>
      </c>
    </row>
    <row r="47" spans="1:8" x14ac:dyDescent="0.35">
      <c r="A47">
        <v>45</v>
      </c>
      <c r="B47">
        <f>45</f>
        <v>45</v>
      </c>
      <c r="C47" t="s">
        <v>85</v>
      </c>
      <c r="D47" t="s">
        <v>86</v>
      </c>
      <c r="E47">
        <v>69.599999999999994</v>
      </c>
      <c r="F47">
        <v>99.6</v>
      </c>
      <c r="G47">
        <v>27.1</v>
      </c>
      <c r="H47">
        <v>96.8</v>
      </c>
    </row>
    <row r="48" spans="1:8" x14ac:dyDescent="0.35">
      <c r="A48">
        <v>46</v>
      </c>
      <c r="B48">
        <v>47</v>
      </c>
      <c r="C48" t="s">
        <v>87</v>
      </c>
      <c r="D48" t="s">
        <v>88</v>
      </c>
      <c r="E48">
        <v>99.4</v>
      </c>
      <c r="F48">
        <v>88.3</v>
      </c>
      <c r="G48">
        <v>57.2</v>
      </c>
      <c r="H48">
        <v>96.1</v>
      </c>
    </row>
    <row r="49" spans="1:8" x14ac:dyDescent="0.35">
      <c r="A49">
        <v>47</v>
      </c>
      <c r="B49">
        <v>48</v>
      </c>
      <c r="C49" t="s">
        <v>89</v>
      </c>
      <c r="D49" t="s">
        <v>90</v>
      </c>
      <c r="E49">
        <v>84</v>
      </c>
      <c r="F49">
        <v>87.1</v>
      </c>
      <c r="G49">
        <v>43.8</v>
      </c>
      <c r="H49">
        <v>86</v>
      </c>
    </row>
    <row r="50" spans="1:8" x14ac:dyDescent="0.35">
      <c r="A50">
        <v>48</v>
      </c>
      <c r="B50">
        <v>49</v>
      </c>
      <c r="C50" t="s">
        <v>91</v>
      </c>
      <c r="D50" t="s">
        <v>92</v>
      </c>
      <c r="E50">
        <v>79.2</v>
      </c>
      <c r="F50">
        <v>100</v>
      </c>
      <c r="G50">
        <v>42.9</v>
      </c>
      <c r="H50">
        <v>100</v>
      </c>
    </row>
    <row r="51" spans="1:8" x14ac:dyDescent="0.35">
      <c r="A51">
        <v>49</v>
      </c>
      <c r="B51">
        <v>50</v>
      </c>
      <c r="C51" t="s">
        <v>93</v>
      </c>
      <c r="D51" t="s">
        <v>26</v>
      </c>
      <c r="E51">
        <v>98.7</v>
      </c>
      <c r="F51">
        <v>81.599999999999994</v>
      </c>
      <c r="G51">
        <v>81.400000000000006</v>
      </c>
      <c r="H51">
        <v>52.2</v>
      </c>
    </row>
    <row r="52" spans="1:8" x14ac:dyDescent="0.35">
      <c r="A52">
        <v>50</v>
      </c>
      <c r="B52">
        <v>51</v>
      </c>
      <c r="C52" t="s">
        <v>94</v>
      </c>
      <c r="D52" t="s">
        <v>95</v>
      </c>
      <c r="E52">
        <v>46.8</v>
      </c>
      <c r="F52">
        <v>99.3</v>
      </c>
      <c r="G52">
        <v>84.3</v>
      </c>
      <c r="H52">
        <v>97.5</v>
      </c>
    </row>
    <row r="53" spans="1:8" x14ac:dyDescent="0.35">
      <c r="A53">
        <v>51</v>
      </c>
      <c r="B53">
        <f>52</f>
        <v>52</v>
      </c>
      <c r="C53" t="s">
        <v>96</v>
      </c>
      <c r="D53" t="s">
        <v>97</v>
      </c>
      <c r="E53">
        <v>100</v>
      </c>
      <c r="F53">
        <v>77.2</v>
      </c>
      <c r="G53">
        <v>94.6</v>
      </c>
      <c r="H53">
        <v>56</v>
      </c>
    </row>
    <row r="54" spans="1:8" x14ac:dyDescent="0.35">
      <c r="A54">
        <v>52</v>
      </c>
      <c r="B54">
        <f>52</f>
        <v>52</v>
      </c>
      <c r="C54" t="s">
        <v>98</v>
      </c>
      <c r="D54" t="s">
        <v>72</v>
      </c>
      <c r="E54">
        <v>70.400000000000006</v>
      </c>
      <c r="F54">
        <v>90.1</v>
      </c>
      <c r="G54">
        <v>76.900000000000006</v>
      </c>
      <c r="H54">
        <v>94.2</v>
      </c>
    </row>
    <row r="55" spans="1:8" x14ac:dyDescent="0.35">
      <c r="A55">
        <v>53</v>
      </c>
      <c r="B55">
        <v>54</v>
      </c>
      <c r="C55" t="s">
        <v>99</v>
      </c>
      <c r="D55" t="s">
        <v>100</v>
      </c>
      <c r="E55">
        <v>79.8</v>
      </c>
      <c r="F55">
        <v>97.7</v>
      </c>
      <c r="G55">
        <v>43.4</v>
      </c>
      <c r="H55">
        <v>92.2</v>
      </c>
    </row>
    <row r="56" spans="1:8" x14ac:dyDescent="0.35">
      <c r="A56">
        <v>54</v>
      </c>
      <c r="B56">
        <v>55</v>
      </c>
      <c r="C56" t="s">
        <v>101</v>
      </c>
      <c r="D56" t="s">
        <v>102</v>
      </c>
      <c r="E56">
        <v>98.8</v>
      </c>
      <c r="F56">
        <v>77.099999999999994</v>
      </c>
      <c r="G56">
        <v>48.6</v>
      </c>
      <c r="H56">
        <v>93.7</v>
      </c>
    </row>
    <row r="57" spans="1:8" x14ac:dyDescent="0.35">
      <c r="A57">
        <v>55</v>
      </c>
      <c r="B57">
        <v>56</v>
      </c>
      <c r="C57" t="s">
        <v>103</v>
      </c>
      <c r="D57" t="s">
        <v>104</v>
      </c>
      <c r="E57">
        <v>54.6</v>
      </c>
      <c r="F57">
        <v>92.8</v>
      </c>
      <c r="G57">
        <v>64.400000000000006</v>
      </c>
      <c r="H57">
        <v>93.1</v>
      </c>
    </row>
    <row r="58" spans="1:8" x14ac:dyDescent="0.35">
      <c r="A58">
        <v>56</v>
      </c>
      <c r="B58">
        <v>57</v>
      </c>
      <c r="C58" t="s">
        <v>105</v>
      </c>
      <c r="D58" t="s">
        <v>106</v>
      </c>
      <c r="E58">
        <v>78.3</v>
      </c>
      <c r="F58">
        <v>88.1</v>
      </c>
      <c r="G58">
        <v>29</v>
      </c>
      <c r="H58">
        <v>92.1</v>
      </c>
    </row>
    <row r="59" spans="1:8" x14ac:dyDescent="0.35">
      <c r="A59">
        <v>57</v>
      </c>
      <c r="B59">
        <v>58</v>
      </c>
      <c r="C59" t="s">
        <v>107</v>
      </c>
      <c r="D59" t="s">
        <v>81</v>
      </c>
      <c r="E59">
        <v>29.4</v>
      </c>
      <c r="F59">
        <v>98.6</v>
      </c>
      <c r="G59">
        <v>85.4</v>
      </c>
      <c r="H59">
        <v>99.6</v>
      </c>
    </row>
    <row r="60" spans="1:8" x14ac:dyDescent="0.35">
      <c r="A60">
        <v>58</v>
      </c>
      <c r="B60">
        <v>59</v>
      </c>
      <c r="C60" t="s">
        <v>108</v>
      </c>
      <c r="D60" t="s">
        <v>109</v>
      </c>
      <c r="E60">
        <v>93.9</v>
      </c>
      <c r="F60">
        <v>93.6</v>
      </c>
      <c r="G60">
        <v>8.1999999999999993</v>
      </c>
      <c r="H60">
        <v>70.2</v>
      </c>
    </row>
    <row r="61" spans="1:8" x14ac:dyDescent="0.35">
      <c r="A61">
        <v>59</v>
      </c>
      <c r="B61">
        <v>60</v>
      </c>
      <c r="C61" t="s">
        <v>110</v>
      </c>
      <c r="D61" t="s">
        <v>111</v>
      </c>
      <c r="E61">
        <v>80.900000000000006</v>
      </c>
      <c r="F61">
        <v>93</v>
      </c>
      <c r="G61">
        <v>29.5</v>
      </c>
      <c r="H61">
        <v>70.5</v>
      </c>
    </row>
    <row r="62" spans="1:8" x14ac:dyDescent="0.35">
      <c r="A62">
        <v>60</v>
      </c>
      <c r="B62">
        <v>61</v>
      </c>
      <c r="C62" t="s">
        <v>112</v>
      </c>
      <c r="D62" t="s">
        <v>51</v>
      </c>
      <c r="E62">
        <v>62.2</v>
      </c>
      <c r="F62">
        <v>97.3</v>
      </c>
      <c r="G62">
        <v>38.9</v>
      </c>
      <c r="H62">
        <v>93.3</v>
      </c>
    </row>
    <row r="63" spans="1:8" x14ac:dyDescent="0.35">
      <c r="A63">
        <v>61</v>
      </c>
      <c r="B63">
        <v>62</v>
      </c>
      <c r="C63" t="s">
        <v>113</v>
      </c>
      <c r="D63" t="s">
        <v>10</v>
      </c>
      <c r="E63">
        <v>50.3</v>
      </c>
      <c r="F63">
        <v>81.3</v>
      </c>
      <c r="G63">
        <v>50.3</v>
      </c>
      <c r="H63">
        <v>99.7</v>
      </c>
    </row>
    <row r="64" spans="1:8" x14ac:dyDescent="0.35">
      <c r="A64">
        <v>62</v>
      </c>
      <c r="B64">
        <v>63</v>
      </c>
      <c r="C64" t="s">
        <v>114</v>
      </c>
      <c r="D64" t="s">
        <v>115</v>
      </c>
      <c r="E64">
        <v>97.3</v>
      </c>
      <c r="F64">
        <v>50.2</v>
      </c>
      <c r="G64">
        <v>92</v>
      </c>
      <c r="H64">
        <v>82.9</v>
      </c>
    </row>
    <row r="65" spans="1:8" x14ac:dyDescent="0.35">
      <c r="A65">
        <v>63</v>
      </c>
      <c r="B65">
        <v>64</v>
      </c>
      <c r="C65" t="s">
        <v>116</v>
      </c>
      <c r="D65" t="s">
        <v>117</v>
      </c>
      <c r="E65">
        <v>41.2</v>
      </c>
      <c r="F65">
        <v>99.7</v>
      </c>
      <c r="G65">
        <v>94.8</v>
      </c>
      <c r="H65">
        <v>99.3</v>
      </c>
    </row>
    <row r="66" spans="1:8" x14ac:dyDescent="0.35">
      <c r="A66">
        <v>64</v>
      </c>
      <c r="B66">
        <v>65</v>
      </c>
      <c r="C66" t="s">
        <v>118</v>
      </c>
      <c r="D66" t="s">
        <v>119</v>
      </c>
      <c r="E66">
        <v>89.9</v>
      </c>
      <c r="F66">
        <v>95.7</v>
      </c>
      <c r="G66">
        <v>82.5</v>
      </c>
      <c r="H66">
        <v>93.5</v>
      </c>
    </row>
    <row r="67" spans="1:8" x14ac:dyDescent="0.35">
      <c r="A67">
        <v>65</v>
      </c>
      <c r="B67">
        <v>66</v>
      </c>
      <c r="C67" t="s">
        <v>120</v>
      </c>
      <c r="D67" t="s">
        <v>121</v>
      </c>
      <c r="E67">
        <v>78</v>
      </c>
      <c r="F67">
        <v>74</v>
      </c>
      <c r="G67">
        <v>82.6</v>
      </c>
      <c r="H67">
        <v>73.2</v>
      </c>
    </row>
    <row r="68" spans="1:8" x14ac:dyDescent="0.35">
      <c r="A68">
        <v>66</v>
      </c>
      <c r="B68">
        <v>67</v>
      </c>
      <c r="C68" t="s">
        <v>122</v>
      </c>
      <c r="D68" t="s">
        <v>123</v>
      </c>
      <c r="E68">
        <v>72.400000000000006</v>
      </c>
      <c r="F68">
        <v>92.2</v>
      </c>
      <c r="G68">
        <v>14.1</v>
      </c>
      <c r="H68">
        <v>61.8</v>
      </c>
    </row>
    <row r="69" spans="1:8" x14ac:dyDescent="0.35">
      <c r="A69">
        <v>67</v>
      </c>
      <c r="B69">
        <f>68</f>
        <v>68</v>
      </c>
      <c r="C69" t="s">
        <v>124</v>
      </c>
      <c r="D69" t="s">
        <v>125</v>
      </c>
      <c r="E69">
        <v>46.5</v>
      </c>
      <c r="F69">
        <v>83.6</v>
      </c>
      <c r="G69">
        <v>43.1</v>
      </c>
      <c r="H69">
        <v>94.1</v>
      </c>
    </row>
    <row r="70" spans="1:8" x14ac:dyDescent="0.35">
      <c r="A70">
        <v>68</v>
      </c>
      <c r="B70">
        <f>68</f>
        <v>68</v>
      </c>
      <c r="C70" t="s">
        <v>126</v>
      </c>
      <c r="D70" t="s">
        <v>127</v>
      </c>
      <c r="E70">
        <v>67.400000000000006</v>
      </c>
      <c r="F70">
        <v>82.1</v>
      </c>
      <c r="G70">
        <v>39</v>
      </c>
      <c r="H70">
        <v>80.900000000000006</v>
      </c>
    </row>
    <row r="71" spans="1:8" x14ac:dyDescent="0.35">
      <c r="A71">
        <v>69</v>
      </c>
      <c r="B71">
        <v>70</v>
      </c>
      <c r="C71" t="s">
        <v>128</v>
      </c>
      <c r="D71" t="s">
        <v>129</v>
      </c>
      <c r="E71">
        <v>38.4</v>
      </c>
      <c r="F71">
        <v>91.8</v>
      </c>
      <c r="G71">
        <v>100</v>
      </c>
      <c r="H71">
        <v>88.4</v>
      </c>
    </row>
    <row r="72" spans="1:8" x14ac:dyDescent="0.35">
      <c r="A72">
        <v>70</v>
      </c>
      <c r="B72">
        <v>71</v>
      </c>
      <c r="C72" t="s">
        <v>130</v>
      </c>
      <c r="D72" t="s">
        <v>131</v>
      </c>
      <c r="E72">
        <v>51</v>
      </c>
      <c r="F72">
        <v>81.3</v>
      </c>
      <c r="G72">
        <v>71.7</v>
      </c>
      <c r="H72">
        <v>66.3</v>
      </c>
    </row>
    <row r="73" spans="1:8" x14ac:dyDescent="0.35">
      <c r="A73">
        <v>71</v>
      </c>
      <c r="B73">
        <v>72</v>
      </c>
      <c r="C73" t="s">
        <v>132</v>
      </c>
      <c r="D73" t="s">
        <v>133</v>
      </c>
      <c r="E73">
        <v>80.8</v>
      </c>
      <c r="F73">
        <v>97.4</v>
      </c>
      <c r="G73">
        <v>9.6999999999999993</v>
      </c>
      <c r="H73">
        <v>97.7</v>
      </c>
    </row>
    <row r="74" spans="1:8" x14ac:dyDescent="0.35">
      <c r="A74">
        <v>72</v>
      </c>
      <c r="B74">
        <v>73</v>
      </c>
      <c r="C74" t="s">
        <v>134</v>
      </c>
      <c r="D74" t="s">
        <v>66</v>
      </c>
      <c r="E74">
        <v>62.9</v>
      </c>
      <c r="F74">
        <v>92.6</v>
      </c>
      <c r="G74">
        <v>60</v>
      </c>
      <c r="H74">
        <v>65.5</v>
      </c>
    </row>
    <row r="75" spans="1:8" x14ac:dyDescent="0.35">
      <c r="A75">
        <v>73</v>
      </c>
      <c r="B75">
        <v>74</v>
      </c>
      <c r="C75" t="s">
        <v>135</v>
      </c>
      <c r="D75" t="s">
        <v>136</v>
      </c>
      <c r="E75">
        <v>80.599999999999994</v>
      </c>
      <c r="F75">
        <v>91.2</v>
      </c>
      <c r="G75">
        <v>7.6</v>
      </c>
      <c r="H75">
        <v>89.6</v>
      </c>
    </row>
    <row r="76" spans="1:8" x14ac:dyDescent="0.35">
      <c r="A76">
        <v>74</v>
      </c>
      <c r="B76">
        <v>75</v>
      </c>
      <c r="C76" t="s">
        <v>137</v>
      </c>
      <c r="D76" t="s">
        <v>138</v>
      </c>
      <c r="E76">
        <v>59.5</v>
      </c>
      <c r="F76">
        <v>83.7</v>
      </c>
      <c r="G76">
        <v>30.3</v>
      </c>
      <c r="H76">
        <v>68.5</v>
      </c>
    </row>
    <row r="77" spans="1:8" x14ac:dyDescent="0.35">
      <c r="A77">
        <v>75</v>
      </c>
      <c r="B77">
        <v>76</v>
      </c>
      <c r="C77" t="s">
        <v>139</v>
      </c>
      <c r="D77" t="s">
        <v>66</v>
      </c>
      <c r="E77">
        <v>33</v>
      </c>
      <c r="F77">
        <v>76.7</v>
      </c>
      <c r="G77">
        <v>100</v>
      </c>
      <c r="H77">
        <v>98.3</v>
      </c>
    </row>
    <row r="78" spans="1:8" x14ac:dyDescent="0.35">
      <c r="A78">
        <v>76</v>
      </c>
      <c r="B78">
        <f>77</f>
        <v>77</v>
      </c>
      <c r="C78" t="s">
        <v>140</v>
      </c>
      <c r="D78" t="s">
        <v>141</v>
      </c>
      <c r="E78">
        <v>98.8</v>
      </c>
      <c r="F78">
        <v>69.900000000000006</v>
      </c>
      <c r="G78">
        <v>11.7</v>
      </c>
      <c r="H78">
        <v>55.6</v>
      </c>
    </row>
    <row r="79" spans="1:8" x14ac:dyDescent="0.35">
      <c r="A79">
        <v>77</v>
      </c>
      <c r="B79">
        <f>77</f>
        <v>77</v>
      </c>
      <c r="C79" t="s">
        <v>142</v>
      </c>
      <c r="D79" t="s">
        <v>143</v>
      </c>
      <c r="E79">
        <v>51.3</v>
      </c>
      <c r="F79">
        <v>82.7</v>
      </c>
      <c r="G79">
        <v>41</v>
      </c>
      <c r="H79">
        <v>83.2</v>
      </c>
    </row>
    <row r="80" spans="1:8" x14ac:dyDescent="0.35">
      <c r="A80">
        <v>78</v>
      </c>
      <c r="B80">
        <v>79</v>
      </c>
      <c r="C80" t="s">
        <v>144</v>
      </c>
      <c r="D80" t="s">
        <v>145</v>
      </c>
      <c r="E80">
        <v>75.099999999999994</v>
      </c>
      <c r="F80">
        <v>78.599999999999994</v>
      </c>
      <c r="G80">
        <v>24.1</v>
      </c>
      <c r="H80">
        <v>66</v>
      </c>
    </row>
    <row r="81" spans="1:8" x14ac:dyDescent="0.35">
      <c r="A81">
        <v>79</v>
      </c>
      <c r="B81">
        <v>80</v>
      </c>
      <c r="C81" t="s">
        <v>146</v>
      </c>
      <c r="D81" t="s">
        <v>147</v>
      </c>
      <c r="E81">
        <v>51.8</v>
      </c>
      <c r="F81">
        <v>88.9</v>
      </c>
      <c r="G81">
        <v>41.2</v>
      </c>
      <c r="H81">
        <v>70.599999999999994</v>
      </c>
    </row>
    <row r="82" spans="1:8" x14ac:dyDescent="0.35">
      <c r="A82">
        <v>80</v>
      </c>
      <c r="B82">
        <v>81</v>
      </c>
      <c r="C82" t="s">
        <v>148</v>
      </c>
      <c r="D82" t="s">
        <v>149</v>
      </c>
      <c r="E82">
        <v>61.9</v>
      </c>
      <c r="F82">
        <v>93.6</v>
      </c>
      <c r="G82">
        <v>59.6</v>
      </c>
      <c r="H82">
        <v>86.2</v>
      </c>
    </row>
    <row r="83" spans="1:8" x14ac:dyDescent="0.35">
      <c r="A83">
        <v>81</v>
      </c>
      <c r="B83">
        <f>82</f>
        <v>82</v>
      </c>
      <c r="C83" t="s">
        <v>150</v>
      </c>
      <c r="D83" t="s">
        <v>151</v>
      </c>
      <c r="E83">
        <v>83.6</v>
      </c>
      <c r="F83">
        <v>61.6</v>
      </c>
      <c r="G83">
        <v>61.9</v>
      </c>
      <c r="H83">
        <v>61.1</v>
      </c>
    </row>
    <row r="84" spans="1:8" x14ac:dyDescent="0.35">
      <c r="A84">
        <v>82</v>
      </c>
      <c r="B84">
        <f>82</f>
        <v>82</v>
      </c>
      <c r="C84" t="s">
        <v>152</v>
      </c>
      <c r="D84" t="s">
        <v>153</v>
      </c>
      <c r="E84">
        <v>76</v>
      </c>
      <c r="F84">
        <v>74.400000000000006</v>
      </c>
      <c r="G84">
        <v>39.5</v>
      </c>
      <c r="H84">
        <v>68.099999999999994</v>
      </c>
    </row>
    <row r="85" spans="1:8" x14ac:dyDescent="0.35">
      <c r="A85">
        <v>83</v>
      </c>
      <c r="B85">
        <v>84</v>
      </c>
      <c r="C85" t="s">
        <v>154</v>
      </c>
      <c r="D85" t="s">
        <v>155</v>
      </c>
      <c r="E85">
        <v>2.1</v>
      </c>
      <c r="F85">
        <v>98.1</v>
      </c>
      <c r="G85">
        <v>85.3</v>
      </c>
      <c r="H85">
        <v>91.7</v>
      </c>
    </row>
    <row r="86" spans="1:8" x14ac:dyDescent="0.35">
      <c r="A86">
        <v>84</v>
      </c>
      <c r="B86">
        <v>85</v>
      </c>
      <c r="C86" t="s">
        <v>156</v>
      </c>
      <c r="D86" t="s">
        <v>157</v>
      </c>
      <c r="E86">
        <v>50.9</v>
      </c>
      <c r="F86">
        <v>75.5</v>
      </c>
      <c r="G86">
        <v>29.5</v>
      </c>
      <c r="H86">
        <v>94.7</v>
      </c>
    </row>
    <row r="87" spans="1:8" x14ac:dyDescent="0.35">
      <c r="A87">
        <v>85</v>
      </c>
      <c r="B87">
        <v>86</v>
      </c>
      <c r="C87" t="s">
        <v>158</v>
      </c>
      <c r="D87" t="s">
        <v>159</v>
      </c>
      <c r="E87">
        <v>35.200000000000003</v>
      </c>
      <c r="F87">
        <v>87.5</v>
      </c>
      <c r="G87">
        <v>99.6</v>
      </c>
      <c r="H87">
        <v>65.5</v>
      </c>
    </row>
    <row r="88" spans="1:8" x14ac:dyDescent="0.35">
      <c r="A88">
        <v>86</v>
      </c>
      <c r="B88">
        <f>87</f>
        <v>87</v>
      </c>
      <c r="C88" t="s">
        <v>160</v>
      </c>
      <c r="D88" t="s">
        <v>161</v>
      </c>
      <c r="E88">
        <v>54.2</v>
      </c>
      <c r="F88">
        <v>84.5</v>
      </c>
      <c r="G88">
        <v>8.9</v>
      </c>
      <c r="H88">
        <v>93.6</v>
      </c>
    </row>
    <row r="89" spans="1:8" x14ac:dyDescent="0.35">
      <c r="A89">
        <v>87</v>
      </c>
      <c r="B89">
        <f>87</f>
        <v>87</v>
      </c>
      <c r="C89" t="s">
        <v>162</v>
      </c>
      <c r="D89" t="s">
        <v>39</v>
      </c>
      <c r="E89">
        <v>98.9</v>
      </c>
      <c r="F89">
        <v>60.9</v>
      </c>
      <c r="G89">
        <v>9.3000000000000007</v>
      </c>
      <c r="H89">
        <v>69.2</v>
      </c>
    </row>
    <row r="90" spans="1:8" x14ac:dyDescent="0.35">
      <c r="A90">
        <v>88</v>
      </c>
      <c r="B90">
        <f>87</f>
        <v>87</v>
      </c>
      <c r="C90" t="s">
        <v>163</v>
      </c>
      <c r="D90" t="s">
        <v>164</v>
      </c>
      <c r="E90">
        <v>52.8</v>
      </c>
      <c r="F90">
        <v>76.099999999999994</v>
      </c>
      <c r="G90">
        <v>70.900000000000006</v>
      </c>
      <c r="H90">
        <v>47.7</v>
      </c>
    </row>
    <row r="91" spans="1:8" x14ac:dyDescent="0.35">
      <c r="A91">
        <v>89</v>
      </c>
      <c r="B91">
        <f>90</f>
        <v>90</v>
      </c>
      <c r="C91" t="s">
        <v>165</v>
      </c>
      <c r="D91" t="s">
        <v>166</v>
      </c>
      <c r="E91">
        <v>99</v>
      </c>
      <c r="F91">
        <v>74.400000000000006</v>
      </c>
      <c r="G91">
        <v>34.4</v>
      </c>
      <c r="H91">
        <v>72.3</v>
      </c>
    </row>
    <row r="92" spans="1:8" x14ac:dyDescent="0.35">
      <c r="A92">
        <v>90</v>
      </c>
      <c r="B92">
        <f>90</f>
        <v>90</v>
      </c>
      <c r="C92" t="s">
        <v>167</v>
      </c>
      <c r="D92" t="s">
        <v>168</v>
      </c>
      <c r="E92">
        <v>42.4</v>
      </c>
      <c r="F92">
        <v>86.5</v>
      </c>
      <c r="G92">
        <v>98.8</v>
      </c>
      <c r="H92">
        <v>45.3</v>
      </c>
    </row>
    <row r="93" spans="1:8" x14ac:dyDescent="0.35">
      <c r="A93">
        <v>91</v>
      </c>
      <c r="B93">
        <f>92</f>
        <v>92</v>
      </c>
      <c r="C93" t="s">
        <v>169</v>
      </c>
      <c r="D93" t="s">
        <v>170</v>
      </c>
      <c r="E93">
        <v>63.2</v>
      </c>
      <c r="F93">
        <v>85.1</v>
      </c>
      <c r="G93">
        <v>24.7</v>
      </c>
      <c r="H93">
        <v>83.6</v>
      </c>
    </row>
    <row r="94" spans="1:8" x14ac:dyDescent="0.35">
      <c r="A94">
        <v>92</v>
      </c>
      <c r="B94">
        <f>92</f>
        <v>92</v>
      </c>
      <c r="C94" t="s">
        <v>171</v>
      </c>
      <c r="D94" t="s">
        <v>172</v>
      </c>
      <c r="E94">
        <v>49.9</v>
      </c>
      <c r="F94">
        <v>90.6</v>
      </c>
      <c r="G94">
        <v>60.5</v>
      </c>
      <c r="H94">
        <v>80.099999999999994</v>
      </c>
    </row>
    <row r="95" spans="1:8" x14ac:dyDescent="0.35">
      <c r="A95">
        <v>93</v>
      </c>
      <c r="B95">
        <v>94</v>
      </c>
      <c r="C95" t="s">
        <v>173</v>
      </c>
      <c r="D95" t="s">
        <v>174</v>
      </c>
      <c r="E95">
        <v>57</v>
      </c>
      <c r="F95">
        <v>75.7</v>
      </c>
      <c r="G95">
        <v>38.700000000000003</v>
      </c>
      <c r="H95">
        <v>83.1</v>
      </c>
    </row>
    <row r="96" spans="1:8" x14ac:dyDescent="0.35">
      <c r="A96">
        <v>94</v>
      </c>
      <c r="B96">
        <v>95</v>
      </c>
      <c r="C96" t="s">
        <v>175</v>
      </c>
      <c r="D96" t="s">
        <v>176</v>
      </c>
      <c r="E96">
        <v>62.9</v>
      </c>
      <c r="F96">
        <v>89.8</v>
      </c>
      <c r="G96">
        <v>37.299999999999997</v>
      </c>
      <c r="H96">
        <v>91.7</v>
      </c>
    </row>
    <row r="97" spans="1:8" x14ac:dyDescent="0.35">
      <c r="A97">
        <v>95</v>
      </c>
      <c r="B97">
        <v>96</v>
      </c>
      <c r="C97" t="s">
        <v>177</v>
      </c>
      <c r="D97" t="s">
        <v>178</v>
      </c>
      <c r="E97">
        <v>67.400000000000006</v>
      </c>
      <c r="F97">
        <v>72.5</v>
      </c>
      <c r="G97">
        <v>40.700000000000003</v>
      </c>
      <c r="H97">
        <v>56</v>
      </c>
    </row>
    <row r="98" spans="1:8" x14ac:dyDescent="0.35">
      <c r="A98">
        <v>96</v>
      </c>
      <c r="B98">
        <f>97</f>
        <v>97</v>
      </c>
      <c r="C98" t="s">
        <v>179</v>
      </c>
      <c r="D98" t="s">
        <v>74</v>
      </c>
      <c r="E98">
        <v>33.4</v>
      </c>
      <c r="F98">
        <v>87.4</v>
      </c>
      <c r="G98">
        <v>99.1</v>
      </c>
      <c r="H98">
        <v>96.4</v>
      </c>
    </row>
    <row r="99" spans="1:8" x14ac:dyDescent="0.35">
      <c r="A99">
        <v>97</v>
      </c>
      <c r="B99">
        <f>97</f>
        <v>97</v>
      </c>
      <c r="C99" t="s">
        <v>180</v>
      </c>
      <c r="D99" t="s">
        <v>181</v>
      </c>
      <c r="E99">
        <v>49.6</v>
      </c>
      <c r="F99">
        <v>75.7</v>
      </c>
      <c r="G99">
        <v>40.6</v>
      </c>
      <c r="H99">
        <v>77.3</v>
      </c>
    </row>
    <row r="100" spans="1:8" x14ac:dyDescent="0.35">
      <c r="A100">
        <v>98</v>
      </c>
      <c r="B100">
        <f>98</f>
        <v>98</v>
      </c>
      <c r="C100" t="s">
        <v>182</v>
      </c>
      <c r="D100" t="s">
        <v>183</v>
      </c>
      <c r="E100">
        <v>84.5</v>
      </c>
      <c r="F100">
        <v>87.1</v>
      </c>
      <c r="G100">
        <v>8.3000000000000007</v>
      </c>
      <c r="H100">
        <v>56.9</v>
      </c>
    </row>
    <row r="101" spans="1:8" x14ac:dyDescent="0.35">
      <c r="A101">
        <v>99</v>
      </c>
      <c r="B101">
        <f>98</f>
        <v>98</v>
      </c>
      <c r="C101" t="s">
        <v>184</v>
      </c>
      <c r="D101" t="s">
        <v>21</v>
      </c>
      <c r="E101">
        <v>46.7</v>
      </c>
      <c r="F101">
        <v>72.8</v>
      </c>
      <c r="G101">
        <v>96.4</v>
      </c>
      <c r="H101">
        <v>44</v>
      </c>
    </row>
    <row r="102" spans="1:8" x14ac:dyDescent="0.35">
      <c r="A102">
        <v>100</v>
      </c>
      <c r="B102">
        <f>100</f>
        <v>100</v>
      </c>
      <c r="C102" t="s">
        <v>185</v>
      </c>
      <c r="D102" t="s">
        <v>186</v>
      </c>
      <c r="E102">
        <v>56.3</v>
      </c>
      <c r="F102">
        <v>73.900000000000006</v>
      </c>
      <c r="G102">
        <v>13.2</v>
      </c>
      <c r="H102">
        <v>91.2</v>
      </c>
    </row>
    <row r="103" spans="1:8" x14ac:dyDescent="0.35">
      <c r="A103">
        <v>101</v>
      </c>
      <c r="B103">
        <f>100</f>
        <v>100</v>
      </c>
      <c r="C103" t="s">
        <v>187</v>
      </c>
      <c r="D103" t="s">
        <v>138</v>
      </c>
      <c r="E103">
        <v>67.5</v>
      </c>
      <c r="F103">
        <v>68.8</v>
      </c>
      <c r="G103">
        <v>15.4</v>
      </c>
      <c r="H103">
        <v>63.4</v>
      </c>
    </row>
    <row r="104" spans="1:8" x14ac:dyDescent="0.35">
      <c r="A104">
        <v>102</v>
      </c>
      <c r="B104">
        <v>102</v>
      </c>
      <c r="C104" t="s">
        <v>188</v>
      </c>
      <c r="D104" t="s">
        <v>189</v>
      </c>
      <c r="E104">
        <v>38.4</v>
      </c>
      <c r="F104">
        <v>85.2</v>
      </c>
      <c r="G104">
        <v>96.2</v>
      </c>
      <c r="H104">
        <v>89.2</v>
      </c>
    </row>
    <row r="105" spans="1:8" x14ac:dyDescent="0.35">
      <c r="A105">
        <v>103</v>
      </c>
      <c r="B105">
        <v>103</v>
      </c>
      <c r="C105" t="s">
        <v>190</v>
      </c>
      <c r="D105" t="s">
        <v>191</v>
      </c>
      <c r="E105">
        <v>83.4</v>
      </c>
      <c r="F105">
        <v>65.7</v>
      </c>
      <c r="G105">
        <v>24</v>
      </c>
      <c r="H105">
        <v>57.7</v>
      </c>
    </row>
    <row r="106" spans="1:8" x14ac:dyDescent="0.35">
      <c r="A106">
        <v>104</v>
      </c>
      <c r="B106">
        <v>104</v>
      </c>
      <c r="C106" t="s">
        <v>192</v>
      </c>
      <c r="D106" t="s">
        <v>193</v>
      </c>
      <c r="E106">
        <v>79.5</v>
      </c>
      <c r="F106">
        <v>59.8</v>
      </c>
      <c r="G106">
        <v>11.1</v>
      </c>
      <c r="H106">
        <v>94</v>
      </c>
    </row>
    <row r="107" spans="1:8" x14ac:dyDescent="0.35">
      <c r="A107">
        <v>105</v>
      </c>
      <c r="B107">
        <v>105</v>
      </c>
      <c r="C107" t="s">
        <v>194</v>
      </c>
      <c r="D107" t="s">
        <v>195</v>
      </c>
      <c r="E107">
        <v>84.9</v>
      </c>
      <c r="F107">
        <v>46.8</v>
      </c>
      <c r="G107">
        <v>96.7</v>
      </c>
      <c r="H107">
        <v>41.1</v>
      </c>
    </row>
    <row r="108" spans="1:8" x14ac:dyDescent="0.35">
      <c r="A108">
        <v>106</v>
      </c>
      <c r="B108">
        <v>106</v>
      </c>
      <c r="C108" t="s">
        <v>196</v>
      </c>
      <c r="D108" t="s">
        <v>197</v>
      </c>
      <c r="E108">
        <v>99.3</v>
      </c>
      <c r="F108">
        <v>62.1</v>
      </c>
      <c r="G108">
        <v>99.7</v>
      </c>
      <c r="H108">
        <v>74.2</v>
      </c>
    </row>
    <row r="109" spans="1:8" x14ac:dyDescent="0.35">
      <c r="A109">
        <v>107</v>
      </c>
      <c r="B109">
        <v>107</v>
      </c>
      <c r="C109" t="s">
        <v>198</v>
      </c>
      <c r="D109" t="s">
        <v>199</v>
      </c>
      <c r="E109">
        <v>77.099999999999994</v>
      </c>
      <c r="F109">
        <v>56.1</v>
      </c>
      <c r="G109">
        <v>47.4</v>
      </c>
      <c r="H109">
        <v>67.7</v>
      </c>
    </row>
    <row r="110" spans="1:8" x14ac:dyDescent="0.35">
      <c r="A110">
        <v>108</v>
      </c>
      <c r="B110">
        <v>108</v>
      </c>
      <c r="C110" t="s">
        <v>200</v>
      </c>
      <c r="D110" t="s">
        <v>72</v>
      </c>
      <c r="E110">
        <v>69.099999999999994</v>
      </c>
      <c r="F110">
        <v>68.599999999999994</v>
      </c>
      <c r="G110">
        <v>82.6</v>
      </c>
      <c r="H110">
        <v>74.8</v>
      </c>
    </row>
    <row r="111" spans="1:8" x14ac:dyDescent="0.35">
      <c r="A111">
        <v>109</v>
      </c>
      <c r="B111">
        <v>109</v>
      </c>
      <c r="C111" t="s">
        <v>201</v>
      </c>
      <c r="D111" t="s">
        <v>202</v>
      </c>
      <c r="E111">
        <v>82.3</v>
      </c>
      <c r="F111">
        <v>46.1</v>
      </c>
      <c r="G111">
        <v>69.900000000000006</v>
      </c>
      <c r="H111">
        <v>44.4</v>
      </c>
    </row>
    <row r="112" spans="1:8" x14ac:dyDescent="0.35">
      <c r="A112">
        <v>110</v>
      </c>
      <c r="B112">
        <v>110</v>
      </c>
      <c r="C112" t="s">
        <v>203</v>
      </c>
      <c r="D112" t="s">
        <v>204</v>
      </c>
      <c r="E112">
        <v>67.8</v>
      </c>
      <c r="F112">
        <v>56.3</v>
      </c>
      <c r="G112">
        <v>49.6</v>
      </c>
      <c r="H112">
        <v>85.5</v>
      </c>
    </row>
    <row r="113" spans="1:8" x14ac:dyDescent="0.35">
      <c r="A113">
        <v>111</v>
      </c>
      <c r="B113">
        <f>111</f>
        <v>111</v>
      </c>
      <c r="C113" t="s">
        <v>205</v>
      </c>
      <c r="D113" t="s">
        <v>206</v>
      </c>
      <c r="E113">
        <v>67.2</v>
      </c>
      <c r="F113">
        <v>91.5</v>
      </c>
      <c r="G113">
        <v>6</v>
      </c>
      <c r="H113">
        <v>73.599999999999994</v>
      </c>
    </row>
    <row r="114" spans="1:8" x14ac:dyDescent="0.35">
      <c r="A114">
        <v>112</v>
      </c>
      <c r="B114">
        <f>111</f>
        <v>111</v>
      </c>
      <c r="C114" t="s">
        <v>207</v>
      </c>
      <c r="D114" t="s">
        <v>208</v>
      </c>
      <c r="E114">
        <v>74.900000000000006</v>
      </c>
      <c r="F114">
        <v>60.6</v>
      </c>
      <c r="G114">
        <v>32.299999999999997</v>
      </c>
      <c r="H114">
        <v>56.5</v>
      </c>
    </row>
    <row r="115" spans="1:8" x14ac:dyDescent="0.35">
      <c r="A115">
        <v>113</v>
      </c>
      <c r="B115">
        <f>113</f>
        <v>113</v>
      </c>
      <c r="C115" t="s">
        <v>209</v>
      </c>
      <c r="D115" t="s">
        <v>210</v>
      </c>
      <c r="E115">
        <v>89.7</v>
      </c>
      <c r="F115">
        <v>55.4</v>
      </c>
      <c r="G115">
        <v>7.1</v>
      </c>
      <c r="H115">
        <v>74.8</v>
      </c>
    </row>
    <row r="116" spans="1:8" x14ac:dyDescent="0.35">
      <c r="A116">
        <v>114</v>
      </c>
      <c r="B116">
        <f>113</f>
        <v>113</v>
      </c>
      <c r="C116" t="s">
        <v>211</v>
      </c>
      <c r="D116" t="s">
        <v>212</v>
      </c>
      <c r="E116">
        <v>73.7</v>
      </c>
      <c r="F116">
        <v>80.599999999999994</v>
      </c>
      <c r="G116">
        <v>42.5</v>
      </c>
      <c r="H116">
        <v>47.9</v>
      </c>
    </row>
    <row r="117" spans="1:8" x14ac:dyDescent="0.35">
      <c r="A117">
        <v>115</v>
      </c>
      <c r="B117">
        <f>115</f>
        <v>115</v>
      </c>
      <c r="C117" t="s">
        <v>213</v>
      </c>
      <c r="D117" t="s">
        <v>214</v>
      </c>
      <c r="E117">
        <v>6.2</v>
      </c>
      <c r="F117">
        <v>78</v>
      </c>
      <c r="G117">
        <v>99.8</v>
      </c>
      <c r="H117">
        <v>93.2</v>
      </c>
    </row>
    <row r="118" spans="1:8" x14ac:dyDescent="0.35">
      <c r="A118">
        <v>116</v>
      </c>
      <c r="B118">
        <f>115</f>
        <v>115</v>
      </c>
      <c r="C118" t="s">
        <v>215</v>
      </c>
      <c r="D118" t="s">
        <v>216</v>
      </c>
      <c r="E118">
        <v>46.4</v>
      </c>
      <c r="F118">
        <v>63.6</v>
      </c>
      <c r="G118">
        <v>55.3</v>
      </c>
      <c r="H118">
        <v>77</v>
      </c>
    </row>
    <row r="119" spans="1:8" x14ac:dyDescent="0.35">
      <c r="A119">
        <v>117</v>
      </c>
      <c r="B119">
        <v>118</v>
      </c>
      <c r="C119" t="s">
        <v>217</v>
      </c>
      <c r="D119" t="s">
        <v>218</v>
      </c>
      <c r="E119">
        <v>97.3</v>
      </c>
      <c r="F119">
        <v>64.599999999999994</v>
      </c>
      <c r="G119">
        <v>17.2</v>
      </c>
      <c r="H119">
        <v>96.9</v>
      </c>
    </row>
    <row r="120" spans="1:8" x14ac:dyDescent="0.35">
      <c r="A120">
        <v>118</v>
      </c>
      <c r="B120">
        <f>119</f>
        <v>119</v>
      </c>
      <c r="C120" t="s">
        <v>219</v>
      </c>
      <c r="D120" t="s">
        <v>220</v>
      </c>
      <c r="E120">
        <v>61.1</v>
      </c>
      <c r="F120">
        <v>81.7</v>
      </c>
      <c r="G120">
        <v>27</v>
      </c>
      <c r="H120">
        <v>50.6</v>
      </c>
    </row>
    <row r="121" spans="1:8" x14ac:dyDescent="0.35">
      <c r="A121">
        <v>119</v>
      </c>
      <c r="B121">
        <f>119</f>
        <v>119</v>
      </c>
      <c r="C121" t="s">
        <v>221</v>
      </c>
      <c r="D121" t="s">
        <v>222</v>
      </c>
      <c r="E121">
        <v>13</v>
      </c>
      <c r="F121">
        <v>98.1</v>
      </c>
      <c r="G121">
        <v>38.299999999999997</v>
      </c>
      <c r="H121">
        <v>96.6</v>
      </c>
    </row>
    <row r="122" spans="1:8" x14ac:dyDescent="0.35">
      <c r="A122">
        <v>120</v>
      </c>
      <c r="B122">
        <f>119</f>
        <v>119</v>
      </c>
      <c r="C122" t="s">
        <v>223</v>
      </c>
      <c r="D122" t="s">
        <v>47</v>
      </c>
      <c r="E122">
        <v>91.9</v>
      </c>
      <c r="F122">
        <v>57.5</v>
      </c>
      <c r="G122">
        <v>6</v>
      </c>
      <c r="H122">
        <v>58.4</v>
      </c>
    </row>
    <row r="123" spans="1:8" x14ac:dyDescent="0.35">
      <c r="A123">
        <v>121</v>
      </c>
      <c r="B123">
        <v>122</v>
      </c>
      <c r="C123" t="s">
        <v>224</v>
      </c>
      <c r="D123" t="s">
        <v>225</v>
      </c>
      <c r="E123">
        <v>69.400000000000006</v>
      </c>
      <c r="F123">
        <v>53</v>
      </c>
      <c r="G123">
        <v>79.3</v>
      </c>
      <c r="H123">
        <v>51.6</v>
      </c>
    </row>
    <row r="124" spans="1:8" x14ac:dyDescent="0.35">
      <c r="A124">
        <v>122</v>
      </c>
      <c r="B124">
        <f>123</f>
        <v>123</v>
      </c>
      <c r="C124" t="s">
        <v>226</v>
      </c>
      <c r="D124" t="s">
        <v>227</v>
      </c>
      <c r="E124">
        <v>57.7</v>
      </c>
      <c r="F124">
        <v>91.3</v>
      </c>
      <c r="G124">
        <v>5.8</v>
      </c>
      <c r="H124">
        <v>70.3</v>
      </c>
    </row>
    <row r="125" spans="1:8" x14ac:dyDescent="0.35">
      <c r="A125">
        <v>123</v>
      </c>
      <c r="B125">
        <f>123</f>
        <v>123</v>
      </c>
      <c r="C125" t="s">
        <v>228</v>
      </c>
      <c r="D125" t="s">
        <v>229</v>
      </c>
      <c r="E125">
        <v>59.7</v>
      </c>
      <c r="F125">
        <v>75.099999999999994</v>
      </c>
      <c r="G125">
        <v>65.900000000000006</v>
      </c>
      <c r="H125">
        <v>36.799999999999997</v>
      </c>
    </row>
    <row r="126" spans="1:8" x14ac:dyDescent="0.35">
      <c r="A126">
        <v>124</v>
      </c>
      <c r="B126">
        <v>125</v>
      </c>
      <c r="C126" t="s">
        <v>230</v>
      </c>
      <c r="D126" t="s">
        <v>231</v>
      </c>
      <c r="E126">
        <v>75.8</v>
      </c>
      <c r="F126">
        <v>51.6</v>
      </c>
      <c r="G126">
        <v>16.3</v>
      </c>
      <c r="H126">
        <v>83.8</v>
      </c>
    </row>
    <row r="127" spans="1:8" x14ac:dyDescent="0.35">
      <c r="A127">
        <v>125</v>
      </c>
      <c r="B127">
        <f>126</f>
        <v>126</v>
      </c>
      <c r="C127" t="s">
        <v>232</v>
      </c>
      <c r="D127" t="s">
        <v>233</v>
      </c>
      <c r="E127">
        <v>74</v>
      </c>
      <c r="F127">
        <v>59</v>
      </c>
      <c r="G127">
        <v>32.200000000000003</v>
      </c>
      <c r="H127">
        <v>53.9</v>
      </c>
    </row>
    <row r="128" spans="1:8" x14ac:dyDescent="0.35">
      <c r="A128">
        <v>126</v>
      </c>
      <c r="B128">
        <f>126</f>
        <v>126</v>
      </c>
      <c r="C128" t="s">
        <v>234</v>
      </c>
      <c r="D128" t="s">
        <v>39</v>
      </c>
      <c r="E128">
        <v>87.7</v>
      </c>
      <c r="F128">
        <v>51.1</v>
      </c>
      <c r="G128">
        <v>10.3</v>
      </c>
      <c r="H128">
        <v>62.3</v>
      </c>
    </row>
    <row r="129" spans="1:8" x14ac:dyDescent="0.35">
      <c r="A129">
        <v>127</v>
      </c>
      <c r="B129">
        <f>128</f>
        <v>128</v>
      </c>
      <c r="C129" t="s">
        <v>235</v>
      </c>
      <c r="D129" t="s">
        <v>236</v>
      </c>
      <c r="E129">
        <v>70.5</v>
      </c>
      <c r="F129">
        <v>70.5</v>
      </c>
      <c r="G129">
        <v>45</v>
      </c>
      <c r="H129">
        <v>41</v>
      </c>
    </row>
    <row r="130" spans="1:8" x14ac:dyDescent="0.35">
      <c r="A130">
        <v>128</v>
      </c>
      <c r="B130">
        <f>128</f>
        <v>128</v>
      </c>
      <c r="C130" t="s">
        <v>237</v>
      </c>
      <c r="D130" t="s">
        <v>238</v>
      </c>
      <c r="E130">
        <v>45.5</v>
      </c>
      <c r="F130">
        <v>77.2</v>
      </c>
      <c r="G130">
        <v>51.1</v>
      </c>
      <c r="H130">
        <v>69.900000000000006</v>
      </c>
    </row>
    <row r="131" spans="1:8" x14ac:dyDescent="0.35">
      <c r="A131">
        <v>129</v>
      </c>
      <c r="B131">
        <v>130</v>
      </c>
      <c r="C131" t="s">
        <v>239</v>
      </c>
      <c r="D131" t="s">
        <v>240</v>
      </c>
      <c r="E131">
        <v>36.799999999999997</v>
      </c>
      <c r="F131">
        <v>76.099999999999994</v>
      </c>
      <c r="G131">
        <v>70.599999999999994</v>
      </c>
      <c r="H131">
        <v>66.400000000000006</v>
      </c>
    </row>
    <row r="132" spans="1:8" x14ac:dyDescent="0.35">
      <c r="A132">
        <v>130</v>
      </c>
      <c r="B132">
        <f>131</f>
        <v>131</v>
      </c>
      <c r="C132" t="s">
        <v>241</v>
      </c>
      <c r="D132" t="s">
        <v>242</v>
      </c>
      <c r="E132">
        <v>65.099999999999994</v>
      </c>
      <c r="F132">
        <v>69.8</v>
      </c>
      <c r="G132">
        <v>71.7</v>
      </c>
      <c r="H132">
        <v>25</v>
      </c>
    </row>
    <row r="133" spans="1:8" x14ac:dyDescent="0.35">
      <c r="A133">
        <v>131</v>
      </c>
      <c r="B133">
        <f>131</f>
        <v>131</v>
      </c>
      <c r="C133" t="s">
        <v>243</v>
      </c>
      <c r="D133" t="s">
        <v>244</v>
      </c>
      <c r="E133">
        <v>23.1</v>
      </c>
      <c r="F133">
        <v>85</v>
      </c>
      <c r="G133">
        <v>87.5</v>
      </c>
      <c r="H133">
        <v>56.4</v>
      </c>
    </row>
    <row r="134" spans="1:8" x14ac:dyDescent="0.35">
      <c r="A134">
        <v>132</v>
      </c>
      <c r="B134">
        <v>133</v>
      </c>
      <c r="C134" t="s">
        <v>245</v>
      </c>
      <c r="D134" t="s">
        <v>246</v>
      </c>
      <c r="E134">
        <v>34.4</v>
      </c>
      <c r="F134">
        <v>97.4</v>
      </c>
      <c r="G134">
        <v>26.9</v>
      </c>
      <c r="H134">
        <v>71.3</v>
      </c>
    </row>
    <row r="135" spans="1:8" x14ac:dyDescent="0.35">
      <c r="A135">
        <v>133</v>
      </c>
      <c r="B135">
        <f>134</f>
        <v>134</v>
      </c>
      <c r="C135" t="s">
        <v>247</v>
      </c>
      <c r="D135" t="s">
        <v>248</v>
      </c>
      <c r="E135">
        <v>79.3</v>
      </c>
      <c r="F135">
        <v>72.5</v>
      </c>
      <c r="G135">
        <v>14</v>
      </c>
      <c r="H135">
        <v>97.8</v>
      </c>
    </row>
    <row r="136" spans="1:8" x14ac:dyDescent="0.35">
      <c r="A136">
        <v>134</v>
      </c>
      <c r="B136">
        <f>134</f>
        <v>134</v>
      </c>
      <c r="C136" t="s">
        <v>249</v>
      </c>
      <c r="D136" t="s">
        <v>250</v>
      </c>
      <c r="E136">
        <v>98.6</v>
      </c>
      <c r="F136">
        <v>54.2</v>
      </c>
      <c r="G136">
        <v>99.1</v>
      </c>
      <c r="H136">
        <v>55.8</v>
      </c>
    </row>
    <row r="137" spans="1:8" x14ac:dyDescent="0.35">
      <c r="A137">
        <v>135</v>
      </c>
      <c r="B137">
        <v>136</v>
      </c>
      <c r="C137" t="s">
        <v>251</v>
      </c>
      <c r="D137" t="s">
        <v>252</v>
      </c>
      <c r="E137">
        <v>66.5</v>
      </c>
      <c r="F137">
        <v>60.2</v>
      </c>
      <c r="G137">
        <v>33.5</v>
      </c>
      <c r="H137">
        <v>61.1</v>
      </c>
    </row>
    <row r="138" spans="1:8" x14ac:dyDescent="0.35">
      <c r="A138">
        <v>136</v>
      </c>
      <c r="B138">
        <v>137</v>
      </c>
      <c r="C138" t="s">
        <v>253</v>
      </c>
      <c r="D138" t="s">
        <v>254</v>
      </c>
      <c r="E138">
        <v>60</v>
      </c>
      <c r="F138">
        <v>72.3</v>
      </c>
      <c r="G138">
        <v>26.5</v>
      </c>
      <c r="H138">
        <v>61.8</v>
      </c>
    </row>
    <row r="139" spans="1:8" x14ac:dyDescent="0.35">
      <c r="A139">
        <v>137</v>
      </c>
      <c r="B139">
        <v>138</v>
      </c>
      <c r="C139" t="s">
        <v>255</v>
      </c>
      <c r="D139" t="s">
        <v>256</v>
      </c>
      <c r="E139">
        <v>38</v>
      </c>
      <c r="F139">
        <v>74.8</v>
      </c>
      <c r="G139">
        <v>70.8</v>
      </c>
      <c r="H139">
        <v>63.1</v>
      </c>
    </row>
    <row r="140" spans="1:8" x14ac:dyDescent="0.35">
      <c r="A140">
        <v>138</v>
      </c>
      <c r="B140">
        <v>139</v>
      </c>
      <c r="C140" t="s">
        <v>257</v>
      </c>
      <c r="D140" t="s">
        <v>258</v>
      </c>
      <c r="E140">
        <v>65.7</v>
      </c>
      <c r="F140">
        <v>61</v>
      </c>
      <c r="G140">
        <v>29.4</v>
      </c>
      <c r="H140">
        <v>52.4</v>
      </c>
    </row>
    <row r="141" spans="1:8" x14ac:dyDescent="0.35">
      <c r="A141">
        <v>139</v>
      </c>
      <c r="B141">
        <f>140</f>
        <v>140</v>
      </c>
      <c r="C141" t="s">
        <v>259</v>
      </c>
      <c r="D141" t="s">
        <v>183</v>
      </c>
      <c r="E141">
        <v>44.6</v>
      </c>
      <c r="F141">
        <v>94.1</v>
      </c>
      <c r="G141">
        <v>9.4</v>
      </c>
      <c r="H141">
        <v>64.5</v>
      </c>
    </row>
    <row r="142" spans="1:8" x14ac:dyDescent="0.35">
      <c r="A142">
        <v>140</v>
      </c>
      <c r="B142">
        <f>140</f>
        <v>140</v>
      </c>
      <c r="C142" t="s">
        <v>260</v>
      </c>
      <c r="D142" t="s">
        <v>261</v>
      </c>
      <c r="E142">
        <v>21.8</v>
      </c>
      <c r="F142">
        <v>83.6</v>
      </c>
      <c r="G142">
        <v>27.7</v>
      </c>
      <c r="H142">
        <v>52.7</v>
      </c>
    </row>
    <row r="143" spans="1:8" x14ac:dyDescent="0.35">
      <c r="A143">
        <v>141</v>
      </c>
      <c r="B143">
        <f>142</f>
        <v>142</v>
      </c>
      <c r="C143" t="s">
        <v>262</v>
      </c>
      <c r="D143" t="s">
        <v>263</v>
      </c>
      <c r="E143">
        <v>42.4</v>
      </c>
      <c r="F143">
        <v>76.400000000000006</v>
      </c>
      <c r="G143">
        <v>36.200000000000003</v>
      </c>
      <c r="H143">
        <v>94.2</v>
      </c>
    </row>
    <row r="144" spans="1:8" x14ac:dyDescent="0.35">
      <c r="A144">
        <v>142</v>
      </c>
      <c r="B144">
        <f>142</f>
        <v>142</v>
      </c>
      <c r="C144" t="s">
        <v>264</v>
      </c>
      <c r="D144" t="s">
        <v>265</v>
      </c>
      <c r="E144">
        <v>80.8</v>
      </c>
      <c r="F144">
        <v>66</v>
      </c>
      <c r="G144">
        <v>34.799999999999997</v>
      </c>
      <c r="H144">
        <v>76.900000000000006</v>
      </c>
    </row>
    <row r="145" spans="1:8" x14ac:dyDescent="0.35">
      <c r="A145">
        <v>143</v>
      </c>
      <c r="B145">
        <f>142</f>
        <v>142</v>
      </c>
      <c r="C145" t="s">
        <v>266</v>
      </c>
      <c r="D145" t="s">
        <v>267</v>
      </c>
      <c r="E145">
        <v>91.8</v>
      </c>
      <c r="F145">
        <v>44.2</v>
      </c>
      <c r="G145">
        <v>4.5</v>
      </c>
      <c r="H145">
        <v>57.7</v>
      </c>
    </row>
    <row r="146" spans="1:8" x14ac:dyDescent="0.35">
      <c r="A146">
        <v>144</v>
      </c>
      <c r="B146">
        <v>145</v>
      </c>
      <c r="C146" t="s">
        <v>268</v>
      </c>
      <c r="D146" t="s">
        <v>269</v>
      </c>
      <c r="E146">
        <v>4.2</v>
      </c>
      <c r="F146">
        <v>99.3</v>
      </c>
      <c r="G146">
        <v>38.1</v>
      </c>
      <c r="H146">
        <v>91.8</v>
      </c>
    </row>
    <row r="147" spans="1:8" x14ac:dyDescent="0.35">
      <c r="A147">
        <v>145</v>
      </c>
      <c r="B147">
        <v>146</v>
      </c>
      <c r="C147" t="s">
        <v>270</v>
      </c>
      <c r="D147" t="s">
        <v>53</v>
      </c>
      <c r="E147">
        <v>99.8</v>
      </c>
      <c r="F147">
        <v>48.4</v>
      </c>
      <c r="G147">
        <v>33.299999999999997</v>
      </c>
      <c r="H147">
        <v>52.9</v>
      </c>
    </row>
    <row r="148" spans="1:8" x14ac:dyDescent="0.35">
      <c r="A148">
        <v>146</v>
      </c>
      <c r="B148">
        <v>147</v>
      </c>
      <c r="C148" t="s">
        <v>271</v>
      </c>
      <c r="D148" t="s">
        <v>272</v>
      </c>
      <c r="E148">
        <v>92.5</v>
      </c>
      <c r="F148">
        <v>37.1</v>
      </c>
      <c r="G148">
        <v>83.3</v>
      </c>
      <c r="H148">
        <v>39.700000000000003</v>
      </c>
    </row>
    <row r="149" spans="1:8" x14ac:dyDescent="0.35">
      <c r="A149">
        <v>147</v>
      </c>
      <c r="B149">
        <v>148</v>
      </c>
      <c r="C149" t="s">
        <v>273</v>
      </c>
      <c r="D149" t="s">
        <v>274</v>
      </c>
      <c r="E149">
        <v>71.3</v>
      </c>
      <c r="F149">
        <v>50.5</v>
      </c>
      <c r="G149">
        <v>21.5</v>
      </c>
      <c r="H149">
        <v>65.8</v>
      </c>
    </row>
    <row r="150" spans="1:8" x14ac:dyDescent="0.35">
      <c r="A150">
        <v>148</v>
      </c>
      <c r="B150">
        <v>149</v>
      </c>
      <c r="C150" t="s">
        <v>275</v>
      </c>
      <c r="D150" t="s">
        <v>276</v>
      </c>
      <c r="E150">
        <v>58.8</v>
      </c>
      <c r="F150">
        <v>60.1</v>
      </c>
      <c r="G150">
        <v>39.6</v>
      </c>
      <c r="H150">
        <v>58.9</v>
      </c>
    </row>
    <row r="151" spans="1:8" x14ac:dyDescent="0.35">
      <c r="A151">
        <v>149</v>
      </c>
      <c r="B151">
        <f>150</f>
        <v>150</v>
      </c>
      <c r="C151" t="s">
        <v>277</v>
      </c>
      <c r="D151" t="s">
        <v>278</v>
      </c>
      <c r="E151">
        <v>28.1</v>
      </c>
      <c r="F151">
        <v>70.3</v>
      </c>
      <c r="G151">
        <v>84.3</v>
      </c>
      <c r="H151">
        <v>46.7</v>
      </c>
    </row>
    <row r="152" spans="1:8" x14ac:dyDescent="0.35">
      <c r="A152">
        <v>150</v>
      </c>
      <c r="B152">
        <f>150</f>
        <v>150</v>
      </c>
      <c r="C152" t="s">
        <v>279</v>
      </c>
      <c r="D152" t="s">
        <v>280</v>
      </c>
      <c r="E152">
        <v>90.3</v>
      </c>
      <c r="F152">
        <v>36.700000000000003</v>
      </c>
      <c r="G152">
        <v>68.7</v>
      </c>
      <c r="H152">
        <v>19.3</v>
      </c>
    </row>
    <row r="153" spans="1:8" x14ac:dyDescent="0.35">
      <c r="A153">
        <v>151</v>
      </c>
      <c r="B153">
        <v>152</v>
      </c>
      <c r="C153" t="s">
        <v>281</v>
      </c>
      <c r="D153" t="s">
        <v>282</v>
      </c>
      <c r="E153">
        <v>76</v>
      </c>
      <c r="F153">
        <v>43.2</v>
      </c>
      <c r="G153">
        <v>43.1</v>
      </c>
      <c r="H153">
        <v>66.2</v>
      </c>
    </row>
    <row r="154" spans="1:8" x14ac:dyDescent="0.35">
      <c r="A154">
        <v>152</v>
      </c>
      <c r="B154">
        <v>153</v>
      </c>
      <c r="C154" t="s">
        <v>283</v>
      </c>
      <c r="D154" t="s">
        <v>92</v>
      </c>
      <c r="E154">
        <v>45.9</v>
      </c>
      <c r="F154">
        <v>63.3</v>
      </c>
      <c r="G154">
        <v>23.9</v>
      </c>
      <c r="H154">
        <v>74.900000000000006</v>
      </c>
    </row>
    <row r="155" spans="1:8" x14ac:dyDescent="0.35">
      <c r="A155">
        <v>153</v>
      </c>
      <c r="B155">
        <v>154</v>
      </c>
      <c r="C155" t="s">
        <v>284</v>
      </c>
      <c r="D155" t="s">
        <v>285</v>
      </c>
      <c r="E155">
        <v>50</v>
      </c>
      <c r="F155">
        <v>57.3</v>
      </c>
      <c r="G155">
        <v>99.7</v>
      </c>
      <c r="H155">
        <v>30.3</v>
      </c>
    </row>
    <row r="156" spans="1:8" x14ac:dyDescent="0.35">
      <c r="A156">
        <v>154</v>
      </c>
      <c r="B156">
        <v>155</v>
      </c>
      <c r="C156" t="s">
        <v>286</v>
      </c>
      <c r="D156" t="s">
        <v>72</v>
      </c>
      <c r="E156">
        <v>41.2</v>
      </c>
      <c r="F156">
        <v>60.7</v>
      </c>
      <c r="G156">
        <v>81.7</v>
      </c>
      <c r="H156">
        <v>76.400000000000006</v>
      </c>
    </row>
    <row r="157" spans="1:8" x14ac:dyDescent="0.35">
      <c r="A157">
        <v>155</v>
      </c>
      <c r="B157">
        <v>156</v>
      </c>
      <c r="C157" t="s">
        <v>287</v>
      </c>
      <c r="D157" t="s">
        <v>288</v>
      </c>
      <c r="E157">
        <v>33.700000000000003</v>
      </c>
      <c r="F157">
        <v>74.2</v>
      </c>
      <c r="G157">
        <v>82.6</v>
      </c>
      <c r="H157">
        <v>79.400000000000006</v>
      </c>
    </row>
    <row r="158" spans="1:8" x14ac:dyDescent="0.35">
      <c r="A158">
        <v>156</v>
      </c>
      <c r="B158">
        <v>157</v>
      </c>
      <c r="C158" t="s">
        <v>289</v>
      </c>
      <c r="D158" t="s">
        <v>290</v>
      </c>
      <c r="E158">
        <v>44.6</v>
      </c>
      <c r="F158">
        <v>69.099999999999994</v>
      </c>
      <c r="G158">
        <v>61.1</v>
      </c>
      <c r="H158">
        <v>34.9</v>
      </c>
    </row>
    <row r="159" spans="1:8" x14ac:dyDescent="0.35">
      <c r="A159">
        <v>157</v>
      </c>
      <c r="B159">
        <f>158</f>
        <v>158</v>
      </c>
      <c r="C159" t="s">
        <v>291</v>
      </c>
      <c r="D159" t="s">
        <v>183</v>
      </c>
      <c r="E159">
        <v>30.4</v>
      </c>
      <c r="F159">
        <v>63.7</v>
      </c>
      <c r="G159">
        <v>74.400000000000006</v>
      </c>
      <c r="H159">
        <v>69.8</v>
      </c>
    </row>
    <row r="160" spans="1:8" x14ac:dyDescent="0.35">
      <c r="A160">
        <v>158</v>
      </c>
      <c r="B160">
        <f>158</f>
        <v>158</v>
      </c>
      <c r="C160" t="s">
        <v>292</v>
      </c>
      <c r="D160" t="s">
        <v>293</v>
      </c>
      <c r="E160">
        <v>58.4</v>
      </c>
      <c r="F160">
        <v>64.099999999999994</v>
      </c>
      <c r="G160">
        <v>59.1</v>
      </c>
      <c r="H160">
        <v>62.3</v>
      </c>
    </row>
    <row r="161" spans="1:8" x14ac:dyDescent="0.35">
      <c r="A161">
        <v>159</v>
      </c>
      <c r="B161">
        <f>158</f>
        <v>158</v>
      </c>
      <c r="C161" t="s">
        <v>294</v>
      </c>
      <c r="D161" t="s">
        <v>295</v>
      </c>
      <c r="E161">
        <v>40.200000000000003</v>
      </c>
      <c r="F161">
        <v>71.400000000000006</v>
      </c>
      <c r="G161">
        <v>89.6</v>
      </c>
      <c r="H161">
        <v>52</v>
      </c>
    </row>
    <row r="162" spans="1:8" x14ac:dyDescent="0.35">
      <c r="A162">
        <v>160</v>
      </c>
      <c r="B162">
        <f>158</f>
        <v>158</v>
      </c>
      <c r="C162" t="s">
        <v>296</v>
      </c>
      <c r="D162" t="s">
        <v>297</v>
      </c>
      <c r="E162">
        <v>54.2</v>
      </c>
      <c r="F162">
        <v>59</v>
      </c>
      <c r="G162">
        <v>50</v>
      </c>
      <c r="H162">
        <v>51.9</v>
      </c>
    </row>
    <row r="163" spans="1:8" x14ac:dyDescent="0.35">
      <c r="A163">
        <v>161</v>
      </c>
      <c r="B163">
        <f>162</f>
        <v>162</v>
      </c>
      <c r="C163" t="s">
        <v>298</v>
      </c>
      <c r="D163" t="s">
        <v>60</v>
      </c>
      <c r="E163">
        <v>33.6</v>
      </c>
      <c r="F163">
        <v>67.2</v>
      </c>
      <c r="G163">
        <v>67.3</v>
      </c>
      <c r="H163">
        <v>44.8</v>
      </c>
    </row>
    <row r="164" spans="1:8" x14ac:dyDescent="0.35">
      <c r="A164">
        <v>162</v>
      </c>
      <c r="B164">
        <f>162</f>
        <v>162</v>
      </c>
      <c r="C164" t="s">
        <v>299</v>
      </c>
      <c r="D164" t="s">
        <v>300</v>
      </c>
      <c r="E164">
        <v>56.8</v>
      </c>
      <c r="F164">
        <v>49.1</v>
      </c>
      <c r="G164">
        <v>99.9</v>
      </c>
      <c r="H164">
        <v>31</v>
      </c>
    </row>
    <row r="165" spans="1:8" x14ac:dyDescent="0.35">
      <c r="A165">
        <v>163</v>
      </c>
      <c r="B165">
        <v>164</v>
      </c>
      <c r="C165" t="s">
        <v>301</v>
      </c>
      <c r="D165" t="s">
        <v>302</v>
      </c>
      <c r="E165">
        <v>5</v>
      </c>
      <c r="F165" t="s">
        <v>303</v>
      </c>
      <c r="G165" t="s">
        <v>304</v>
      </c>
      <c r="H165">
        <v>70.2</v>
      </c>
    </row>
    <row r="166" spans="1:8" x14ac:dyDescent="0.35">
      <c r="A166">
        <v>164</v>
      </c>
      <c r="B166">
        <v>50.5</v>
      </c>
      <c r="C166">
        <v>38.4</v>
      </c>
      <c r="D166">
        <v>48.6</v>
      </c>
      <c r="E166">
        <v>46.9</v>
      </c>
      <c r="F166">
        <v>85.7</v>
      </c>
      <c r="G166">
        <v>16.7</v>
      </c>
      <c r="H166">
        <v>46.5</v>
      </c>
    </row>
    <row r="167" spans="1:8" x14ac:dyDescent="0.35">
      <c r="A167">
        <v>165</v>
      </c>
      <c r="B167">
        <f>165</f>
        <v>165</v>
      </c>
      <c r="C167" t="s">
        <v>305</v>
      </c>
      <c r="D167" t="s">
        <v>306</v>
      </c>
      <c r="E167">
        <v>98.7</v>
      </c>
      <c r="F167">
        <v>56.2</v>
      </c>
      <c r="G167">
        <v>22.3</v>
      </c>
      <c r="H167">
        <v>57.5</v>
      </c>
    </row>
    <row r="168" spans="1:8" x14ac:dyDescent="0.35">
      <c r="A168">
        <v>166</v>
      </c>
      <c r="B168">
        <v>167</v>
      </c>
      <c r="C168" t="s">
        <v>307</v>
      </c>
      <c r="D168" t="s">
        <v>151</v>
      </c>
      <c r="E168">
        <v>72.900000000000006</v>
      </c>
      <c r="F168">
        <v>65.599999999999994</v>
      </c>
      <c r="G168">
        <v>21.6</v>
      </c>
      <c r="H168">
        <v>29.6</v>
      </c>
    </row>
    <row r="169" spans="1:8" x14ac:dyDescent="0.35">
      <c r="A169">
        <v>167</v>
      </c>
      <c r="B169">
        <v>168</v>
      </c>
      <c r="C169" t="s">
        <v>308</v>
      </c>
      <c r="D169" t="s">
        <v>309</v>
      </c>
      <c r="E169">
        <v>61.5</v>
      </c>
      <c r="F169">
        <v>56.5</v>
      </c>
      <c r="G169">
        <v>50.5</v>
      </c>
      <c r="H169">
        <v>31</v>
      </c>
    </row>
    <row r="170" spans="1:8" x14ac:dyDescent="0.35">
      <c r="A170">
        <v>168</v>
      </c>
      <c r="B170">
        <v>169</v>
      </c>
      <c r="C170" t="s">
        <v>310</v>
      </c>
      <c r="D170" t="s">
        <v>311</v>
      </c>
      <c r="E170">
        <v>58.1</v>
      </c>
      <c r="F170">
        <v>70.099999999999994</v>
      </c>
      <c r="G170">
        <v>6.3</v>
      </c>
      <c r="H170">
        <v>84</v>
      </c>
    </row>
    <row r="171" spans="1:8" x14ac:dyDescent="0.35">
      <c r="A171">
        <v>169</v>
      </c>
      <c r="B171">
        <v>170</v>
      </c>
      <c r="C171" t="s">
        <v>312</v>
      </c>
      <c r="D171" t="s">
        <v>313</v>
      </c>
      <c r="E171">
        <v>95.3</v>
      </c>
      <c r="F171">
        <v>55.1</v>
      </c>
      <c r="G171">
        <v>15.8</v>
      </c>
      <c r="H171">
        <v>87.4</v>
      </c>
    </row>
    <row r="172" spans="1:8" x14ac:dyDescent="0.35">
      <c r="A172">
        <v>170</v>
      </c>
      <c r="B172">
        <v>171</v>
      </c>
      <c r="C172" t="s">
        <v>314</v>
      </c>
      <c r="D172" t="s">
        <v>315</v>
      </c>
      <c r="E172">
        <v>29.5</v>
      </c>
      <c r="F172">
        <v>70.900000000000006</v>
      </c>
      <c r="G172">
        <v>85.7</v>
      </c>
      <c r="H172">
        <v>76.099999999999994</v>
      </c>
    </row>
    <row r="173" spans="1:8" x14ac:dyDescent="0.35">
      <c r="A173">
        <v>171</v>
      </c>
      <c r="B173">
        <v>172</v>
      </c>
      <c r="C173" t="s">
        <v>316</v>
      </c>
      <c r="D173" t="s">
        <v>317</v>
      </c>
      <c r="E173">
        <v>53.6</v>
      </c>
      <c r="F173">
        <v>66.099999999999994</v>
      </c>
      <c r="G173">
        <v>9.6</v>
      </c>
      <c r="H173">
        <v>63.2</v>
      </c>
    </row>
    <row r="174" spans="1:8" x14ac:dyDescent="0.35">
      <c r="A174">
        <v>172</v>
      </c>
      <c r="B174">
        <v>173</v>
      </c>
      <c r="C174" t="s">
        <v>318</v>
      </c>
      <c r="D174" t="s">
        <v>319</v>
      </c>
      <c r="E174">
        <v>97.2</v>
      </c>
      <c r="F174">
        <v>63.3</v>
      </c>
      <c r="G174">
        <v>7.5</v>
      </c>
      <c r="H174">
        <v>40.9</v>
      </c>
    </row>
    <row r="175" spans="1:8" x14ac:dyDescent="0.35">
      <c r="A175">
        <v>173</v>
      </c>
      <c r="B175">
        <f>174</f>
        <v>174</v>
      </c>
      <c r="C175" t="s">
        <v>320</v>
      </c>
      <c r="D175" t="s">
        <v>321</v>
      </c>
      <c r="E175">
        <v>72.099999999999994</v>
      </c>
      <c r="F175">
        <v>35.700000000000003</v>
      </c>
      <c r="G175">
        <v>57</v>
      </c>
      <c r="H175">
        <v>50.7</v>
      </c>
    </row>
    <row r="176" spans="1:8" x14ac:dyDescent="0.35">
      <c r="A176">
        <v>174</v>
      </c>
      <c r="B176">
        <f>174</f>
        <v>174</v>
      </c>
      <c r="C176" t="s">
        <v>322</v>
      </c>
      <c r="D176" t="s">
        <v>323</v>
      </c>
      <c r="E176">
        <v>56.2</v>
      </c>
      <c r="F176">
        <v>55.1</v>
      </c>
      <c r="G176">
        <v>51.9</v>
      </c>
      <c r="H176">
        <v>46.4</v>
      </c>
    </row>
    <row r="177" spans="1:8" x14ac:dyDescent="0.35">
      <c r="A177">
        <v>175</v>
      </c>
      <c r="B177">
        <f>174</f>
        <v>174</v>
      </c>
      <c r="C177" t="s">
        <v>324</v>
      </c>
      <c r="D177" t="s">
        <v>325</v>
      </c>
      <c r="E177">
        <v>58.5</v>
      </c>
      <c r="F177">
        <v>52.3</v>
      </c>
      <c r="G177">
        <v>28.7</v>
      </c>
      <c r="H177">
        <v>52.8</v>
      </c>
    </row>
    <row r="178" spans="1:8" x14ac:dyDescent="0.35">
      <c r="A178">
        <v>176</v>
      </c>
      <c r="B178">
        <f>177</f>
        <v>177</v>
      </c>
      <c r="C178" t="s">
        <v>326</v>
      </c>
      <c r="D178" t="s">
        <v>327</v>
      </c>
      <c r="E178">
        <v>5</v>
      </c>
      <c r="F178" t="s">
        <v>303</v>
      </c>
      <c r="G178" t="s">
        <v>304</v>
      </c>
      <c r="H178">
        <v>2.2000000000000002</v>
      </c>
    </row>
    <row r="179" spans="1:8" x14ac:dyDescent="0.35">
      <c r="A179">
        <v>177</v>
      </c>
      <c r="B179">
        <v>54.2</v>
      </c>
      <c r="C179">
        <v>99.6</v>
      </c>
      <c r="D179">
        <v>77.900000000000006</v>
      </c>
      <c r="E179">
        <v>71.8</v>
      </c>
      <c r="F179">
        <v>44.8</v>
      </c>
      <c r="G179">
        <v>59</v>
      </c>
      <c r="H179">
        <v>69.3</v>
      </c>
    </row>
    <row r="180" spans="1:8" x14ac:dyDescent="0.35">
      <c r="A180">
        <v>178</v>
      </c>
      <c r="B180">
        <f>179</f>
        <v>179</v>
      </c>
      <c r="C180" t="s">
        <v>328</v>
      </c>
      <c r="D180" t="s">
        <v>329</v>
      </c>
      <c r="E180">
        <v>50.2</v>
      </c>
      <c r="F180">
        <v>61</v>
      </c>
      <c r="G180">
        <v>38.700000000000003</v>
      </c>
      <c r="H180">
        <v>53.4</v>
      </c>
    </row>
    <row r="181" spans="1:8" x14ac:dyDescent="0.35">
      <c r="A181">
        <v>179</v>
      </c>
      <c r="B181">
        <f>179</f>
        <v>179</v>
      </c>
      <c r="C181" t="s">
        <v>330</v>
      </c>
      <c r="D181" t="s">
        <v>331</v>
      </c>
      <c r="E181">
        <v>36.5</v>
      </c>
      <c r="F181">
        <v>70.400000000000006</v>
      </c>
      <c r="G181">
        <v>76.3</v>
      </c>
      <c r="H181">
        <v>70.400000000000006</v>
      </c>
    </row>
    <row r="182" spans="1:8" x14ac:dyDescent="0.35">
      <c r="A182">
        <v>180</v>
      </c>
      <c r="B182">
        <f>179</f>
        <v>179</v>
      </c>
      <c r="C182" t="s">
        <v>332</v>
      </c>
      <c r="D182" t="s">
        <v>333</v>
      </c>
      <c r="E182">
        <v>66.099999999999994</v>
      </c>
      <c r="F182">
        <v>48.8</v>
      </c>
      <c r="G182">
        <v>6.4</v>
      </c>
      <c r="H182">
        <v>73</v>
      </c>
    </row>
    <row r="183" spans="1:8" x14ac:dyDescent="0.35">
      <c r="A183">
        <v>181</v>
      </c>
      <c r="B183">
        <v>182</v>
      </c>
      <c r="C183" t="s">
        <v>334</v>
      </c>
      <c r="D183" t="s">
        <v>335</v>
      </c>
      <c r="E183">
        <v>57.3</v>
      </c>
      <c r="F183">
        <v>65.7</v>
      </c>
      <c r="G183">
        <v>12</v>
      </c>
      <c r="H183">
        <v>53.7</v>
      </c>
    </row>
    <row r="184" spans="1:8" x14ac:dyDescent="0.35">
      <c r="A184">
        <v>182</v>
      </c>
      <c r="B184">
        <v>183</v>
      </c>
      <c r="C184" t="s">
        <v>336</v>
      </c>
      <c r="D184" t="s">
        <v>263</v>
      </c>
      <c r="E184">
        <v>85.5</v>
      </c>
      <c r="F184">
        <v>36.299999999999997</v>
      </c>
      <c r="G184">
        <v>89.2</v>
      </c>
      <c r="H184">
        <v>34.1</v>
      </c>
    </row>
    <row r="185" spans="1:8" x14ac:dyDescent="0.35">
      <c r="A185">
        <v>183</v>
      </c>
      <c r="B185">
        <v>184</v>
      </c>
      <c r="C185" t="s">
        <v>337</v>
      </c>
      <c r="D185" t="s">
        <v>338</v>
      </c>
      <c r="E185">
        <v>57.8</v>
      </c>
      <c r="F185">
        <v>60.4</v>
      </c>
      <c r="G185">
        <v>15.2</v>
      </c>
      <c r="H185">
        <v>52.7</v>
      </c>
    </row>
    <row r="186" spans="1:8" x14ac:dyDescent="0.35">
      <c r="A186">
        <v>184</v>
      </c>
      <c r="B186">
        <f>185</f>
        <v>185</v>
      </c>
      <c r="C186" t="s">
        <v>339</v>
      </c>
      <c r="D186" t="s">
        <v>340</v>
      </c>
      <c r="E186">
        <v>70.8</v>
      </c>
      <c r="F186">
        <v>47.1</v>
      </c>
      <c r="G186">
        <v>63</v>
      </c>
      <c r="H186">
        <v>46.1</v>
      </c>
    </row>
    <row r="187" spans="1:8" x14ac:dyDescent="0.35">
      <c r="A187">
        <v>185</v>
      </c>
      <c r="B187">
        <f>185</f>
        <v>185</v>
      </c>
      <c r="C187" t="s">
        <v>341</v>
      </c>
      <c r="D187" t="s">
        <v>222</v>
      </c>
      <c r="E187">
        <v>16</v>
      </c>
      <c r="F187">
        <v>92</v>
      </c>
      <c r="G187">
        <v>9.9</v>
      </c>
      <c r="H187">
        <v>85.1</v>
      </c>
    </row>
    <row r="188" spans="1:8" x14ac:dyDescent="0.35">
      <c r="A188">
        <v>186</v>
      </c>
      <c r="B188">
        <f>185</f>
        <v>185</v>
      </c>
      <c r="C188" t="s">
        <v>342</v>
      </c>
      <c r="D188" t="s">
        <v>111</v>
      </c>
      <c r="E188">
        <v>82.9</v>
      </c>
      <c r="F188">
        <v>55.9</v>
      </c>
      <c r="G188">
        <v>18</v>
      </c>
      <c r="H188">
        <v>29.3</v>
      </c>
    </row>
    <row r="189" spans="1:8" x14ac:dyDescent="0.35">
      <c r="A189">
        <v>187</v>
      </c>
      <c r="B189">
        <v>188</v>
      </c>
      <c r="C189" t="s">
        <v>343</v>
      </c>
      <c r="D189" t="s">
        <v>344</v>
      </c>
      <c r="E189">
        <v>5</v>
      </c>
      <c r="F189">
        <v>72.7</v>
      </c>
      <c r="G189">
        <v>65.5</v>
      </c>
      <c r="H189">
        <v>91.2</v>
      </c>
    </row>
    <row r="190" spans="1:8" x14ac:dyDescent="0.35">
      <c r="A190">
        <v>188</v>
      </c>
      <c r="B190">
        <v>189</v>
      </c>
      <c r="C190" t="s">
        <v>345</v>
      </c>
      <c r="D190" t="s">
        <v>141</v>
      </c>
      <c r="E190">
        <v>84.8</v>
      </c>
      <c r="F190">
        <v>47.5</v>
      </c>
      <c r="G190">
        <v>13.6</v>
      </c>
      <c r="H190">
        <v>37.6</v>
      </c>
    </row>
    <row r="191" spans="1:8" x14ac:dyDescent="0.35">
      <c r="A191">
        <v>189</v>
      </c>
      <c r="B191">
        <v>190</v>
      </c>
      <c r="C191" t="s">
        <v>346</v>
      </c>
      <c r="D191" t="s">
        <v>347</v>
      </c>
      <c r="E191">
        <v>100</v>
      </c>
      <c r="F191">
        <v>36.200000000000003</v>
      </c>
      <c r="G191">
        <v>46</v>
      </c>
      <c r="H191">
        <v>59.9</v>
      </c>
    </row>
    <row r="192" spans="1:8" x14ac:dyDescent="0.35">
      <c r="A192">
        <v>190</v>
      </c>
      <c r="B192">
        <f>191</f>
        <v>191</v>
      </c>
      <c r="C192" t="s">
        <v>348</v>
      </c>
      <c r="D192" t="s">
        <v>349</v>
      </c>
      <c r="E192">
        <v>47.5</v>
      </c>
      <c r="F192">
        <v>63.7</v>
      </c>
      <c r="G192">
        <v>38.9</v>
      </c>
      <c r="H192">
        <v>78.099999999999994</v>
      </c>
    </row>
    <row r="193" spans="1:8" x14ac:dyDescent="0.35">
      <c r="A193">
        <v>191</v>
      </c>
      <c r="B193">
        <f>191</f>
        <v>191</v>
      </c>
      <c r="C193" t="s">
        <v>350</v>
      </c>
      <c r="D193" t="s">
        <v>261</v>
      </c>
      <c r="E193">
        <v>67.400000000000006</v>
      </c>
      <c r="F193">
        <v>50.1</v>
      </c>
      <c r="G193">
        <v>16.3</v>
      </c>
      <c r="H193">
        <v>58.9</v>
      </c>
    </row>
    <row r="194" spans="1:8" x14ac:dyDescent="0.35">
      <c r="A194">
        <v>192</v>
      </c>
      <c r="B194">
        <f>191</f>
        <v>191</v>
      </c>
      <c r="C194" t="s">
        <v>351</v>
      </c>
      <c r="D194" t="s">
        <v>352</v>
      </c>
      <c r="E194">
        <v>3.9</v>
      </c>
      <c r="F194">
        <v>71.900000000000006</v>
      </c>
      <c r="G194">
        <v>59.9</v>
      </c>
      <c r="H194">
        <v>87.4</v>
      </c>
    </row>
    <row r="195" spans="1:8" x14ac:dyDescent="0.35">
      <c r="A195">
        <v>193</v>
      </c>
      <c r="B195">
        <f>191</f>
        <v>191</v>
      </c>
      <c r="C195" t="s">
        <v>353</v>
      </c>
      <c r="D195" t="s">
        <v>354</v>
      </c>
      <c r="E195">
        <v>99.5</v>
      </c>
      <c r="F195">
        <v>38.799999999999997</v>
      </c>
      <c r="G195">
        <v>41.5</v>
      </c>
      <c r="H195">
        <v>22.9</v>
      </c>
    </row>
    <row r="196" spans="1:8" x14ac:dyDescent="0.35">
      <c r="A196">
        <v>194</v>
      </c>
      <c r="B196">
        <v>195</v>
      </c>
      <c r="C196" t="s">
        <v>355</v>
      </c>
      <c r="D196" t="s">
        <v>356</v>
      </c>
      <c r="E196">
        <v>95.2</v>
      </c>
      <c r="F196">
        <v>41</v>
      </c>
      <c r="G196">
        <v>16.600000000000001</v>
      </c>
      <c r="H196">
        <v>31.2</v>
      </c>
    </row>
    <row r="197" spans="1:8" x14ac:dyDescent="0.35">
      <c r="A197">
        <v>195</v>
      </c>
      <c r="B197">
        <f>196</f>
        <v>196</v>
      </c>
      <c r="C197" t="s">
        <v>357</v>
      </c>
      <c r="D197" t="s">
        <v>358</v>
      </c>
      <c r="E197">
        <v>54.3</v>
      </c>
      <c r="F197">
        <v>61.8</v>
      </c>
      <c r="G197">
        <v>5.4</v>
      </c>
      <c r="H197">
        <v>40.1</v>
      </c>
    </row>
    <row r="198" spans="1:8" x14ac:dyDescent="0.35">
      <c r="A198">
        <v>196</v>
      </c>
      <c r="B198">
        <f>196</f>
        <v>196</v>
      </c>
      <c r="C198" t="s">
        <v>359</v>
      </c>
      <c r="D198" t="s">
        <v>360</v>
      </c>
      <c r="E198">
        <v>72.2</v>
      </c>
      <c r="F198">
        <v>45.9</v>
      </c>
      <c r="G198">
        <v>15.4</v>
      </c>
      <c r="H198">
        <v>38.1</v>
      </c>
    </row>
    <row r="199" spans="1:8" x14ac:dyDescent="0.35">
      <c r="A199">
        <v>197</v>
      </c>
      <c r="B199">
        <v>198</v>
      </c>
      <c r="C199" t="s">
        <v>361</v>
      </c>
      <c r="D199" t="s">
        <v>362</v>
      </c>
      <c r="E199">
        <v>60.3</v>
      </c>
      <c r="F199">
        <v>62.4</v>
      </c>
      <c r="G199">
        <v>11.3</v>
      </c>
      <c r="H199">
        <v>37.6</v>
      </c>
    </row>
    <row r="200" spans="1:8" x14ac:dyDescent="0.35">
      <c r="A200">
        <v>198</v>
      </c>
      <c r="B200">
        <v>199</v>
      </c>
      <c r="C200" t="s">
        <v>363</v>
      </c>
      <c r="D200" t="s">
        <v>364</v>
      </c>
      <c r="E200">
        <v>5</v>
      </c>
      <c r="F200" t="s">
        <v>303</v>
      </c>
      <c r="G200">
        <v>11.8</v>
      </c>
      <c r="H200">
        <v>79.599999999999994</v>
      </c>
    </row>
    <row r="201" spans="1:8" x14ac:dyDescent="0.35">
      <c r="A201">
        <v>199</v>
      </c>
      <c r="B201">
        <v>45.4</v>
      </c>
      <c r="C201">
        <v>68.7</v>
      </c>
      <c r="D201">
        <v>200</v>
      </c>
      <c r="E201">
        <v>5</v>
      </c>
      <c r="F201" t="s">
        <v>303</v>
      </c>
      <c r="G201" t="s">
        <v>304</v>
      </c>
      <c r="H201">
        <v>48.4</v>
      </c>
    </row>
    <row r="202" spans="1:8" x14ac:dyDescent="0.35">
      <c r="A202">
        <v>200</v>
      </c>
      <c r="B202">
        <v>61.7</v>
      </c>
      <c r="C202">
        <v>33.6</v>
      </c>
      <c r="D202">
        <v>65.3</v>
      </c>
      <c r="E202">
        <v>26.6</v>
      </c>
      <c r="F202">
        <v>71.400000000000006</v>
      </c>
      <c r="G202">
        <v>57.9</v>
      </c>
      <c r="H202">
        <v>62.6</v>
      </c>
    </row>
    <row r="203" spans="1:8" x14ac:dyDescent="0.35">
      <c r="A203">
        <v>201</v>
      </c>
      <c r="B203">
        <f>201</f>
        <v>201</v>
      </c>
      <c r="C203" t="s">
        <v>365</v>
      </c>
      <c r="D203" t="s">
        <v>74</v>
      </c>
      <c r="E203">
        <v>6.5</v>
      </c>
      <c r="F203">
        <v>74.7</v>
      </c>
      <c r="G203">
        <v>27.2</v>
      </c>
      <c r="H203">
        <v>97.1</v>
      </c>
    </row>
    <row r="204" spans="1:8" x14ac:dyDescent="0.35">
      <c r="A204">
        <v>202</v>
      </c>
      <c r="B204">
        <v>203</v>
      </c>
      <c r="C204" t="s">
        <v>366</v>
      </c>
      <c r="D204" t="s">
        <v>367</v>
      </c>
      <c r="E204">
        <v>59</v>
      </c>
      <c r="F204">
        <v>45.1</v>
      </c>
      <c r="G204">
        <v>20.6</v>
      </c>
      <c r="H204">
        <v>67.3</v>
      </c>
    </row>
    <row r="205" spans="1:8" x14ac:dyDescent="0.35">
      <c r="A205">
        <v>203</v>
      </c>
      <c r="B205">
        <v>204</v>
      </c>
      <c r="C205" t="s">
        <v>368</v>
      </c>
      <c r="D205" t="s">
        <v>369</v>
      </c>
      <c r="E205">
        <v>62.1</v>
      </c>
      <c r="F205">
        <v>75.5</v>
      </c>
      <c r="G205">
        <v>10.5</v>
      </c>
      <c r="H205">
        <v>50.9</v>
      </c>
    </row>
    <row r="206" spans="1:8" x14ac:dyDescent="0.35">
      <c r="A206">
        <v>204</v>
      </c>
      <c r="B206">
        <v>205</v>
      </c>
      <c r="C206" t="s">
        <v>370</v>
      </c>
      <c r="D206" t="s">
        <v>371</v>
      </c>
      <c r="E206">
        <v>96.3</v>
      </c>
      <c r="F206">
        <v>41.7</v>
      </c>
      <c r="G206">
        <v>8.1999999999999993</v>
      </c>
      <c r="H206">
        <v>85</v>
      </c>
    </row>
    <row r="207" spans="1:8" x14ac:dyDescent="0.35">
      <c r="A207">
        <v>205</v>
      </c>
      <c r="B207">
        <f>206</f>
        <v>206</v>
      </c>
      <c r="C207" t="s">
        <v>372</v>
      </c>
      <c r="D207" t="s">
        <v>373</v>
      </c>
      <c r="E207">
        <v>3.1</v>
      </c>
      <c r="F207">
        <v>71.900000000000006</v>
      </c>
      <c r="G207">
        <v>66.7</v>
      </c>
      <c r="H207">
        <v>81.8</v>
      </c>
    </row>
    <row r="208" spans="1:8" x14ac:dyDescent="0.35">
      <c r="A208">
        <v>206</v>
      </c>
      <c r="B208">
        <f>206</f>
        <v>206</v>
      </c>
      <c r="C208" t="s">
        <v>374</v>
      </c>
      <c r="D208" t="s">
        <v>375</v>
      </c>
      <c r="E208">
        <v>74.400000000000006</v>
      </c>
      <c r="F208">
        <v>53</v>
      </c>
      <c r="G208">
        <v>3.2</v>
      </c>
      <c r="H208">
        <v>73.5</v>
      </c>
    </row>
    <row r="209" spans="1:8" x14ac:dyDescent="0.35">
      <c r="A209">
        <v>207</v>
      </c>
      <c r="B209">
        <v>208</v>
      </c>
      <c r="C209" t="s">
        <v>376</v>
      </c>
      <c r="D209" t="s">
        <v>377</v>
      </c>
      <c r="E209">
        <v>99.4</v>
      </c>
      <c r="F209">
        <v>44.9</v>
      </c>
      <c r="G209">
        <v>5.5</v>
      </c>
      <c r="H209">
        <v>32.9</v>
      </c>
    </row>
    <row r="210" spans="1:8" x14ac:dyDescent="0.35">
      <c r="A210">
        <v>208</v>
      </c>
      <c r="B210">
        <f>209</f>
        <v>209</v>
      </c>
      <c r="C210" t="s">
        <v>378</v>
      </c>
      <c r="D210" t="s">
        <v>379</v>
      </c>
      <c r="E210">
        <v>29.4</v>
      </c>
      <c r="F210">
        <v>69.8</v>
      </c>
      <c r="G210">
        <v>66.099999999999994</v>
      </c>
      <c r="H210">
        <v>32.700000000000003</v>
      </c>
    </row>
    <row r="211" spans="1:8" x14ac:dyDescent="0.35">
      <c r="A211">
        <v>209</v>
      </c>
      <c r="B211">
        <f>209</f>
        <v>209</v>
      </c>
      <c r="C211" t="s">
        <v>380</v>
      </c>
      <c r="D211" t="s">
        <v>381</v>
      </c>
      <c r="E211">
        <v>52.5</v>
      </c>
      <c r="F211">
        <v>65.2</v>
      </c>
      <c r="G211">
        <v>27.1</v>
      </c>
      <c r="H211">
        <v>43</v>
      </c>
    </row>
    <row r="212" spans="1:8" x14ac:dyDescent="0.35">
      <c r="A212">
        <v>210</v>
      </c>
      <c r="B212">
        <v>211</v>
      </c>
      <c r="C212" t="s">
        <v>382</v>
      </c>
      <c r="D212" t="s">
        <v>383</v>
      </c>
      <c r="E212">
        <v>59</v>
      </c>
      <c r="F212">
        <v>76.900000000000006</v>
      </c>
      <c r="G212">
        <v>15.7</v>
      </c>
      <c r="H212">
        <v>38.6</v>
      </c>
    </row>
    <row r="213" spans="1:8" x14ac:dyDescent="0.35">
      <c r="A213">
        <v>211</v>
      </c>
      <c r="B213">
        <v>212</v>
      </c>
      <c r="C213" t="s">
        <v>384</v>
      </c>
      <c r="D213" t="s">
        <v>385</v>
      </c>
      <c r="E213">
        <v>12.4</v>
      </c>
      <c r="F213">
        <v>83.5</v>
      </c>
      <c r="G213">
        <v>48.2</v>
      </c>
      <c r="H213">
        <v>50.2</v>
      </c>
    </row>
    <row r="214" spans="1:8" x14ac:dyDescent="0.35">
      <c r="A214">
        <v>212</v>
      </c>
      <c r="B214">
        <f>213</f>
        <v>213</v>
      </c>
      <c r="C214" t="s">
        <v>386</v>
      </c>
      <c r="D214" t="s">
        <v>202</v>
      </c>
      <c r="E214">
        <v>100</v>
      </c>
      <c r="F214">
        <v>13.9</v>
      </c>
      <c r="G214">
        <v>100</v>
      </c>
      <c r="H214">
        <v>10.6</v>
      </c>
    </row>
    <row r="215" spans="1:8" x14ac:dyDescent="0.35">
      <c r="A215">
        <v>213</v>
      </c>
      <c r="B215">
        <f>213</f>
        <v>213</v>
      </c>
      <c r="C215" t="s">
        <v>387</v>
      </c>
      <c r="D215" t="s">
        <v>74</v>
      </c>
      <c r="E215">
        <v>8</v>
      </c>
      <c r="F215">
        <v>66.3</v>
      </c>
      <c r="G215">
        <v>63.1</v>
      </c>
      <c r="H215">
        <v>94.7</v>
      </c>
    </row>
    <row r="216" spans="1:8" x14ac:dyDescent="0.35">
      <c r="A216">
        <v>214</v>
      </c>
      <c r="B216">
        <v>215</v>
      </c>
      <c r="C216" t="s">
        <v>388</v>
      </c>
      <c r="D216" t="s">
        <v>389</v>
      </c>
      <c r="E216">
        <v>47.6</v>
      </c>
      <c r="F216">
        <v>42.1</v>
      </c>
      <c r="G216">
        <v>61.9</v>
      </c>
      <c r="H216">
        <v>27.6</v>
      </c>
    </row>
    <row r="217" spans="1:8" x14ac:dyDescent="0.35">
      <c r="A217">
        <v>215</v>
      </c>
      <c r="B217">
        <v>216</v>
      </c>
      <c r="C217" t="s">
        <v>390</v>
      </c>
      <c r="D217" t="s">
        <v>26</v>
      </c>
      <c r="E217">
        <v>88.9</v>
      </c>
      <c r="F217">
        <v>31.5</v>
      </c>
      <c r="G217">
        <v>59.4</v>
      </c>
      <c r="H217">
        <v>29.7</v>
      </c>
    </row>
    <row r="218" spans="1:8" x14ac:dyDescent="0.35">
      <c r="A218">
        <v>216</v>
      </c>
      <c r="B218">
        <v>217</v>
      </c>
      <c r="C218" t="s">
        <v>391</v>
      </c>
      <c r="D218" t="s">
        <v>392</v>
      </c>
      <c r="E218">
        <v>44.9</v>
      </c>
      <c r="F218">
        <v>43.5</v>
      </c>
      <c r="G218">
        <v>52.6</v>
      </c>
      <c r="H218">
        <v>50.3</v>
      </c>
    </row>
    <row r="219" spans="1:8" x14ac:dyDescent="0.35">
      <c r="A219">
        <v>217</v>
      </c>
      <c r="B219">
        <f>218</f>
        <v>218</v>
      </c>
      <c r="C219" t="s">
        <v>393</v>
      </c>
      <c r="D219" t="s">
        <v>394</v>
      </c>
      <c r="E219">
        <v>96.5</v>
      </c>
      <c r="F219">
        <v>39.9</v>
      </c>
      <c r="G219">
        <v>5.0999999999999996</v>
      </c>
      <c r="H219">
        <v>54.5</v>
      </c>
    </row>
    <row r="220" spans="1:8" x14ac:dyDescent="0.35">
      <c r="A220">
        <v>218</v>
      </c>
      <c r="B220">
        <f>218</f>
        <v>218</v>
      </c>
      <c r="C220" t="s">
        <v>395</v>
      </c>
      <c r="D220" t="s">
        <v>396</v>
      </c>
      <c r="E220">
        <v>50.9</v>
      </c>
      <c r="F220">
        <v>45.5</v>
      </c>
      <c r="G220">
        <v>63.4</v>
      </c>
      <c r="H220">
        <v>36.700000000000003</v>
      </c>
    </row>
    <row r="221" spans="1:8" x14ac:dyDescent="0.35">
      <c r="A221">
        <v>219</v>
      </c>
      <c r="B221">
        <v>220</v>
      </c>
      <c r="C221" t="s">
        <v>397</v>
      </c>
      <c r="D221" t="s">
        <v>398</v>
      </c>
      <c r="E221">
        <v>62.4</v>
      </c>
      <c r="F221">
        <v>46.4</v>
      </c>
      <c r="G221">
        <v>16.600000000000001</v>
      </c>
      <c r="H221">
        <v>53.6</v>
      </c>
    </row>
    <row r="222" spans="1:8" x14ac:dyDescent="0.35">
      <c r="A222">
        <v>220</v>
      </c>
      <c r="B222">
        <f>221</f>
        <v>221</v>
      </c>
      <c r="C222" t="s">
        <v>399</v>
      </c>
      <c r="D222" t="s">
        <v>400</v>
      </c>
      <c r="E222">
        <v>99.9</v>
      </c>
      <c r="F222">
        <v>55</v>
      </c>
      <c r="G222">
        <v>31.5</v>
      </c>
      <c r="H222">
        <v>48.8</v>
      </c>
    </row>
    <row r="223" spans="1:8" x14ac:dyDescent="0.35">
      <c r="A223">
        <v>221</v>
      </c>
      <c r="B223">
        <f>221</f>
        <v>221</v>
      </c>
      <c r="C223" t="s">
        <v>401</v>
      </c>
      <c r="D223" t="s">
        <v>402</v>
      </c>
      <c r="E223">
        <v>81</v>
      </c>
      <c r="F223">
        <v>47.9</v>
      </c>
      <c r="G223">
        <v>12.5</v>
      </c>
      <c r="H223">
        <v>88.3</v>
      </c>
    </row>
    <row r="224" spans="1:8" x14ac:dyDescent="0.35">
      <c r="A224">
        <v>222</v>
      </c>
      <c r="B224">
        <f>223</f>
        <v>223</v>
      </c>
      <c r="C224" t="s">
        <v>403</v>
      </c>
      <c r="D224" t="s">
        <v>404</v>
      </c>
      <c r="E224">
        <v>45.7</v>
      </c>
      <c r="F224">
        <v>43</v>
      </c>
      <c r="G224">
        <v>48</v>
      </c>
      <c r="H224">
        <v>62.5</v>
      </c>
    </row>
    <row r="225" spans="1:8" x14ac:dyDescent="0.35">
      <c r="A225">
        <v>223</v>
      </c>
      <c r="B225">
        <f>223</f>
        <v>223</v>
      </c>
      <c r="C225" t="s">
        <v>405</v>
      </c>
      <c r="D225" t="s">
        <v>406</v>
      </c>
      <c r="E225">
        <v>73.599999999999994</v>
      </c>
      <c r="F225">
        <v>30.5</v>
      </c>
      <c r="G225">
        <v>54.4</v>
      </c>
      <c r="H225">
        <v>29.6</v>
      </c>
    </row>
    <row r="226" spans="1:8" x14ac:dyDescent="0.35">
      <c r="A226">
        <v>224</v>
      </c>
      <c r="B226">
        <v>225</v>
      </c>
      <c r="C226" t="s">
        <v>407</v>
      </c>
      <c r="D226" t="s">
        <v>321</v>
      </c>
      <c r="E226">
        <v>40.700000000000003</v>
      </c>
      <c r="F226">
        <v>45.6</v>
      </c>
      <c r="G226">
        <v>68.900000000000006</v>
      </c>
      <c r="H226">
        <v>22.2</v>
      </c>
    </row>
    <row r="227" spans="1:8" x14ac:dyDescent="0.35">
      <c r="A227">
        <v>225</v>
      </c>
      <c r="B227">
        <v>226</v>
      </c>
      <c r="C227" t="s">
        <v>408</v>
      </c>
      <c r="D227" t="s">
        <v>364</v>
      </c>
      <c r="E227">
        <v>25.8</v>
      </c>
      <c r="F227">
        <v>72.400000000000006</v>
      </c>
      <c r="G227">
        <v>35.9</v>
      </c>
      <c r="H227">
        <v>62.4</v>
      </c>
    </row>
    <row r="228" spans="1:8" x14ac:dyDescent="0.35">
      <c r="A228">
        <v>226</v>
      </c>
      <c r="B228">
        <v>227</v>
      </c>
      <c r="C228" t="s">
        <v>409</v>
      </c>
      <c r="D228" t="s">
        <v>47</v>
      </c>
      <c r="E228">
        <v>77.8</v>
      </c>
      <c r="F228">
        <v>43.1</v>
      </c>
      <c r="G228">
        <v>5.8</v>
      </c>
      <c r="H228">
        <v>33.299999999999997</v>
      </c>
    </row>
    <row r="229" spans="1:8" x14ac:dyDescent="0.35">
      <c r="A229">
        <v>227</v>
      </c>
      <c r="B229">
        <f>228</f>
        <v>228</v>
      </c>
      <c r="C229" t="s">
        <v>410</v>
      </c>
      <c r="D229" t="s">
        <v>411</v>
      </c>
      <c r="E229">
        <v>28.9</v>
      </c>
      <c r="F229">
        <v>58.7</v>
      </c>
      <c r="G229">
        <v>75.7</v>
      </c>
      <c r="H229">
        <v>55.2</v>
      </c>
    </row>
    <row r="230" spans="1:8" x14ac:dyDescent="0.35">
      <c r="A230">
        <v>228</v>
      </c>
      <c r="B230">
        <f>228</f>
        <v>228</v>
      </c>
      <c r="C230" t="s">
        <v>412</v>
      </c>
      <c r="D230" t="s">
        <v>413</v>
      </c>
      <c r="E230">
        <v>84</v>
      </c>
      <c r="F230">
        <v>36.6</v>
      </c>
      <c r="G230">
        <v>4.8</v>
      </c>
      <c r="H230">
        <v>37.299999999999997</v>
      </c>
    </row>
    <row r="231" spans="1:8" x14ac:dyDescent="0.35">
      <c r="A231">
        <v>229</v>
      </c>
      <c r="B231">
        <f>230</f>
        <v>230</v>
      </c>
      <c r="C231" t="s">
        <v>414</v>
      </c>
      <c r="D231" t="s">
        <v>415</v>
      </c>
      <c r="E231">
        <v>28.4</v>
      </c>
      <c r="F231">
        <v>62.5</v>
      </c>
      <c r="G231">
        <v>86</v>
      </c>
      <c r="H231">
        <v>31.9</v>
      </c>
    </row>
    <row r="232" spans="1:8" x14ac:dyDescent="0.35">
      <c r="A232">
        <v>230</v>
      </c>
      <c r="B232">
        <f>230</f>
        <v>230</v>
      </c>
      <c r="C232" t="s">
        <v>416</v>
      </c>
      <c r="D232" t="s">
        <v>417</v>
      </c>
      <c r="E232">
        <v>84.2</v>
      </c>
      <c r="F232">
        <v>40.4</v>
      </c>
      <c r="G232">
        <v>10</v>
      </c>
      <c r="H232">
        <v>23.5</v>
      </c>
    </row>
    <row r="233" spans="1:8" x14ac:dyDescent="0.35">
      <c r="A233">
        <v>231</v>
      </c>
      <c r="B233">
        <f>230</f>
        <v>230</v>
      </c>
      <c r="C233" t="s">
        <v>418</v>
      </c>
      <c r="D233" t="s">
        <v>147</v>
      </c>
      <c r="E233">
        <v>65.3</v>
      </c>
      <c r="F233">
        <v>38.200000000000003</v>
      </c>
      <c r="G233">
        <v>13.2</v>
      </c>
      <c r="H233">
        <v>46.4</v>
      </c>
    </row>
    <row r="234" spans="1:8" x14ac:dyDescent="0.35">
      <c r="A234">
        <v>232</v>
      </c>
      <c r="B234">
        <f>233</f>
        <v>233</v>
      </c>
      <c r="C234" t="s">
        <v>419</v>
      </c>
      <c r="D234" t="s">
        <v>420</v>
      </c>
      <c r="E234">
        <v>9</v>
      </c>
      <c r="F234">
        <v>82.8</v>
      </c>
      <c r="G234">
        <v>16.8</v>
      </c>
      <c r="H234">
        <v>83.1</v>
      </c>
    </row>
    <row r="235" spans="1:8" x14ac:dyDescent="0.35">
      <c r="A235">
        <v>233</v>
      </c>
      <c r="B235">
        <f>233</f>
        <v>233</v>
      </c>
      <c r="C235" t="s">
        <v>421</v>
      </c>
      <c r="D235" t="s">
        <v>45</v>
      </c>
      <c r="E235">
        <v>63.4</v>
      </c>
      <c r="F235">
        <v>39.799999999999997</v>
      </c>
      <c r="G235">
        <v>49.3</v>
      </c>
      <c r="H235">
        <v>29.2</v>
      </c>
    </row>
    <row r="236" spans="1:8" x14ac:dyDescent="0.35">
      <c r="A236">
        <v>234</v>
      </c>
      <c r="B236">
        <f>235</f>
        <v>235</v>
      </c>
      <c r="C236" t="s">
        <v>422</v>
      </c>
      <c r="D236" t="s">
        <v>423</v>
      </c>
      <c r="E236">
        <v>74.599999999999994</v>
      </c>
      <c r="F236">
        <v>41.3</v>
      </c>
      <c r="G236">
        <v>99.6</v>
      </c>
      <c r="H236">
        <v>22.7</v>
      </c>
    </row>
    <row r="237" spans="1:8" x14ac:dyDescent="0.35">
      <c r="A237">
        <v>235</v>
      </c>
      <c r="B237">
        <f>235</f>
        <v>235</v>
      </c>
      <c r="C237" t="s">
        <v>424</v>
      </c>
      <c r="D237" t="s">
        <v>425</v>
      </c>
      <c r="E237">
        <v>99.9</v>
      </c>
      <c r="F237">
        <v>29.1</v>
      </c>
      <c r="G237">
        <v>54.3</v>
      </c>
      <c r="H237">
        <v>50.4</v>
      </c>
    </row>
    <row r="238" spans="1:8" x14ac:dyDescent="0.35">
      <c r="A238">
        <v>236</v>
      </c>
      <c r="B238">
        <f>237</f>
        <v>237</v>
      </c>
      <c r="C238" t="s">
        <v>426</v>
      </c>
      <c r="D238" t="s">
        <v>29</v>
      </c>
      <c r="E238">
        <v>97.9</v>
      </c>
      <c r="F238">
        <v>50.4</v>
      </c>
      <c r="G238">
        <v>28.1</v>
      </c>
      <c r="H238">
        <v>41.2</v>
      </c>
    </row>
    <row r="239" spans="1:8" x14ac:dyDescent="0.35">
      <c r="A239">
        <v>237</v>
      </c>
      <c r="B239">
        <f>237</f>
        <v>237</v>
      </c>
      <c r="C239" t="s">
        <v>427</v>
      </c>
      <c r="D239" t="s">
        <v>428</v>
      </c>
      <c r="E239">
        <v>50.3</v>
      </c>
      <c r="F239">
        <v>59.4</v>
      </c>
      <c r="G239">
        <v>13.1</v>
      </c>
      <c r="H239">
        <v>42.2</v>
      </c>
    </row>
    <row r="240" spans="1:8" x14ac:dyDescent="0.35">
      <c r="A240">
        <v>238</v>
      </c>
      <c r="B240">
        <v>239</v>
      </c>
      <c r="C240" t="s">
        <v>429</v>
      </c>
      <c r="D240" t="s">
        <v>261</v>
      </c>
      <c r="E240">
        <v>79.7</v>
      </c>
      <c r="F240">
        <v>21.6</v>
      </c>
      <c r="G240">
        <v>90.6</v>
      </c>
      <c r="H240">
        <v>11.9</v>
      </c>
    </row>
    <row r="241" spans="1:8" x14ac:dyDescent="0.35">
      <c r="A241">
        <v>239</v>
      </c>
      <c r="B241">
        <v>240</v>
      </c>
      <c r="C241" t="s">
        <v>430</v>
      </c>
      <c r="D241" t="s">
        <v>78</v>
      </c>
      <c r="E241">
        <v>70</v>
      </c>
      <c r="F241">
        <v>50.7</v>
      </c>
      <c r="G241">
        <v>9.1999999999999993</v>
      </c>
      <c r="H241">
        <v>38.9</v>
      </c>
    </row>
    <row r="242" spans="1:8" x14ac:dyDescent="0.35">
      <c r="A242">
        <v>240</v>
      </c>
      <c r="B242">
        <f>241</f>
        <v>241</v>
      </c>
      <c r="C242" t="s">
        <v>431</v>
      </c>
      <c r="D242" t="s">
        <v>47</v>
      </c>
      <c r="E242">
        <v>83.7</v>
      </c>
      <c r="F242">
        <v>33</v>
      </c>
      <c r="G242">
        <v>13.7</v>
      </c>
      <c r="H242">
        <v>33.700000000000003</v>
      </c>
    </row>
    <row r="243" spans="1:8" x14ac:dyDescent="0.35">
      <c r="A243">
        <v>241</v>
      </c>
      <c r="B243">
        <f>241</f>
        <v>241</v>
      </c>
      <c r="C243" t="s">
        <v>432</v>
      </c>
      <c r="D243" t="s">
        <v>433</v>
      </c>
      <c r="E243">
        <v>44.4</v>
      </c>
      <c r="F243">
        <v>58.6</v>
      </c>
      <c r="G243">
        <v>12.3</v>
      </c>
      <c r="H243">
        <v>36.6</v>
      </c>
    </row>
    <row r="244" spans="1:8" x14ac:dyDescent="0.35">
      <c r="A244">
        <v>242</v>
      </c>
      <c r="B244">
        <v>243</v>
      </c>
      <c r="C244" t="s">
        <v>434</v>
      </c>
      <c r="D244" t="s">
        <v>29</v>
      </c>
      <c r="E244">
        <v>99.1</v>
      </c>
      <c r="F244">
        <v>37.299999999999997</v>
      </c>
      <c r="G244">
        <v>33.700000000000003</v>
      </c>
      <c r="H244">
        <v>57.8</v>
      </c>
    </row>
    <row r="245" spans="1:8" x14ac:dyDescent="0.35">
      <c r="A245">
        <v>243</v>
      </c>
      <c r="B245">
        <v>244</v>
      </c>
      <c r="C245" t="s">
        <v>435</v>
      </c>
      <c r="D245" t="s">
        <v>436</v>
      </c>
      <c r="E245">
        <v>91.2</v>
      </c>
      <c r="F245">
        <v>34.9</v>
      </c>
      <c r="G245">
        <v>23.2</v>
      </c>
      <c r="H245">
        <v>32.1</v>
      </c>
    </row>
    <row r="246" spans="1:8" x14ac:dyDescent="0.35">
      <c r="A246">
        <v>244</v>
      </c>
      <c r="B246">
        <v>245</v>
      </c>
      <c r="C246" t="s">
        <v>437</v>
      </c>
      <c r="D246" t="s">
        <v>438</v>
      </c>
      <c r="E246">
        <v>52.8</v>
      </c>
      <c r="F246">
        <v>56.3</v>
      </c>
      <c r="G246">
        <v>29.6</v>
      </c>
      <c r="H246">
        <v>31.7</v>
      </c>
    </row>
    <row r="247" spans="1:8" x14ac:dyDescent="0.35">
      <c r="A247">
        <v>245</v>
      </c>
      <c r="B247">
        <f>246</f>
        <v>246</v>
      </c>
      <c r="C247" t="s">
        <v>439</v>
      </c>
      <c r="D247" t="s">
        <v>66</v>
      </c>
      <c r="E247">
        <v>4.2</v>
      </c>
      <c r="F247">
        <v>78.2</v>
      </c>
      <c r="G247">
        <v>5.4</v>
      </c>
      <c r="H247">
        <v>71.5</v>
      </c>
    </row>
    <row r="248" spans="1:8" x14ac:dyDescent="0.35">
      <c r="A248">
        <v>246</v>
      </c>
      <c r="B248">
        <f>246</f>
        <v>246</v>
      </c>
      <c r="C248" t="s">
        <v>440</v>
      </c>
      <c r="D248" t="s">
        <v>441</v>
      </c>
      <c r="E248">
        <v>77.599999999999994</v>
      </c>
      <c r="F248">
        <v>31.1</v>
      </c>
      <c r="G248">
        <v>30.7</v>
      </c>
      <c r="H248">
        <v>32</v>
      </c>
    </row>
    <row r="249" spans="1:8" x14ac:dyDescent="0.35">
      <c r="A249">
        <v>247</v>
      </c>
      <c r="B249">
        <v>248</v>
      </c>
      <c r="C249" t="s">
        <v>442</v>
      </c>
      <c r="D249" t="s">
        <v>443</v>
      </c>
      <c r="E249">
        <v>54.4</v>
      </c>
      <c r="F249">
        <v>42.4</v>
      </c>
      <c r="G249">
        <v>3.9</v>
      </c>
      <c r="H249">
        <v>50.2</v>
      </c>
    </row>
    <row r="250" spans="1:8" x14ac:dyDescent="0.35">
      <c r="A250">
        <v>248</v>
      </c>
      <c r="B250">
        <v>249</v>
      </c>
      <c r="C250" t="s">
        <v>444</v>
      </c>
      <c r="D250" t="s">
        <v>445</v>
      </c>
      <c r="E250">
        <v>50.8</v>
      </c>
      <c r="F250">
        <v>48.6</v>
      </c>
      <c r="G250">
        <v>21.8</v>
      </c>
      <c r="H250">
        <v>39.299999999999997</v>
      </c>
    </row>
    <row r="251" spans="1:8" x14ac:dyDescent="0.35">
      <c r="A251">
        <v>249</v>
      </c>
      <c r="B251">
        <v>250</v>
      </c>
      <c r="C251" t="s">
        <v>446</v>
      </c>
      <c r="D251" t="s">
        <v>447</v>
      </c>
      <c r="E251">
        <v>86</v>
      </c>
      <c r="F251">
        <v>29.6</v>
      </c>
      <c r="G251">
        <v>7.5</v>
      </c>
      <c r="H251">
        <v>41.5</v>
      </c>
    </row>
    <row r="252" spans="1:8" x14ac:dyDescent="0.35">
      <c r="A252">
        <v>250</v>
      </c>
      <c r="B252">
        <v>251</v>
      </c>
      <c r="C252" t="s">
        <v>448</v>
      </c>
      <c r="D252" t="s">
        <v>449</v>
      </c>
      <c r="E252">
        <v>52.1</v>
      </c>
      <c r="F252">
        <v>27.3</v>
      </c>
      <c r="G252">
        <v>96.1</v>
      </c>
      <c r="H252">
        <v>30.3</v>
      </c>
    </row>
    <row r="253" spans="1:8" x14ac:dyDescent="0.35">
      <c r="A253">
        <v>251</v>
      </c>
      <c r="B253">
        <f>252</f>
        <v>252</v>
      </c>
      <c r="C253" t="s">
        <v>450</v>
      </c>
      <c r="D253" t="s">
        <v>451</v>
      </c>
      <c r="E253">
        <v>64.599999999999994</v>
      </c>
      <c r="F253">
        <v>48.1</v>
      </c>
      <c r="G253">
        <v>20.399999999999999</v>
      </c>
      <c r="H253">
        <v>47.5</v>
      </c>
    </row>
    <row r="254" spans="1:8" x14ac:dyDescent="0.35">
      <c r="A254">
        <v>252</v>
      </c>
      <c r="B254">
        <f>252</f>
        <v>252</v>
      </c>
      <c r="C254" t="s">
        <v>452</v>
      </c>
      <c r="D254" t="s">
        <v>453</v>
      </c>
      <c r="E254">
        <v>52.5</v>
      </c>
      <c r="F254">
        <v>55.3</v>
      </c>
      <c r="G254">
        <v>42</v>
      </c>
      <c r="H254">
        <v>45.4</v>
      </c>
    </row>
    <row r="255" spans="1:8" x14ac:dyDescent="0.35">
      <c r="A255">
        <v>253</v>
      </c>
      <c r="B255">
        <v>254</v>
      </c>
      <c r="C255" t="s">
        <v>454</v>
      </c>
      <c r="D255" t="s">
        <v>455</v>
      </c>
      <c r="E255">
        <v>68</v>
      </c>
      <c r="F255">
        <v>34.1</v>
      </c>
      <c r="G255">
        <v>18.399999999999999</v>
      </c>
      <c r="H255">
        <v>32.200000000000003</v>
      </c>
    </row>
    <row r="256" spans="1:8" x14ac:dyDescent="0.35">
      <c r="A256">
        <v>254</v>
      </c>
      <c r="B256">
        <f>255</f>
        <v>255</v>
      </c>
      <c r="C256" t="s">
        <v>456</v>
      </c>
      <c r="D256" t="s">
        <v>457</v>
      </c>
      <c r="E256">
        <v>41.8</v>
      </c>
      <c r="F256">
        <v>67.2</v>
      </c>
      <c r="G256">
        <v>34.1</v>
      </c>
      <c r="H256">
        <v>40.6</v>
      </c>
    </row>
    <row r="257" spans="1:8" x14ac:dyDescent="0.35">
      <c r="A257">
        <v>255</v>
      </c>
      <c r="B257">
        <f>255</f>
        <v>255</v>
      </c>
      <c r="C257" t="s">
        <v>458</v>
      </c>
      <c r="D257" t="s">
        <v>459</v>
      </c>
      <c r="E257">
        <v>71.8</v>
      </c>
      <c r="F257">
        <v>54.9</v>
      </c>
      <c r="G257">
        <v>13.1</v>
      </c>
      <c r="H257">
        <v>34.799999999999997</v>
      </c>
    </row>
    <row r="258" spans="1:8" x14ac:dyDescent="0.35">
      <c r="A258">
        <v>256</v>
      </c>
      <c r="B258">
        <v>257</v>
      </c>
      <c r="C258" t="s">
        <v>460</v>
      </c>
      <c r="D258" t="s">
        <v>461</v>
      </c>
      <c r="E258">
        <v>5</v>
      </c>
      <c r="F258" t="s">
        <v>303</v>
      </c>
      <c r="G258" t="s">
        <v>304</v>
      </c>
      <c r="H258">
        <v>48</v>
      </c>
    </row>
    <row r="259" spans="1:8" x14ac:dyDescent="0.35">
      <c r="A259">
        <v>257</v>
      </c>
      <c r="B259">
        <v>51.5</v>
      </c>
      <c r="C259">
        <v>9.1</v>
      </c>
      <c r="D259">
        <v>39.4</v>
      </c>
      <c r="E259">
        <v>51.4</v>
      </c>
      <c r="F259">
        <v>32.799999999999997</v>
      </c>
      <c r="G259">
        <v>19.2</v>
      </c>
      <c r="H259">
        <v>59</v>
      </c>
    </row>
    <row r="260" spans="1:8" x14ac:dyDescent="0.35">
      <c r="A260">
        <v>258</v>
      </c>
      <c r="B260">
        <f>258</f>
        <v>258</v>
      </c>
      <c r="C260" t="s">
        <v>462</v>
      </c>
      <c r="D260" t="s">
        <v>463</v>
      </c>
      <c r="E260">
        <v>71.7</v>
      </c>
      <c r="F260">
        <v>48.6</v>
      </c>
      <c r="G260">
        <v>55.1</v>
      </c>
      <c r="H260">
        <v>52.1</v>
      </c>
    </row>
    <row r="261" spans="1:8" x14ac:dyDescent="0.35">
      <c r="A261">
        <v>259</v>
      </c>
      <c r="B261">
        <v>260</v>
      </c>
      <c r="C261" t="s">
        <v>464</v>
      </c>
      <c r="D261" t="s">
        <v>465</v>
      </c>
      <c r="E261">
        <v>58.8</v>
      </c>
      <c r="F261">
        <v>47.4</v>
      </c>
      <c r="G261">
        <v>12.4</v>
      </c>
      <c r="H261">
        <v>44.5</v>
      </c>
    </row>
    <row r="262" spans="1:8" x14ac:dyDescent="0.35">
      <c r="A262">
        <v>260</v>
      </c>
      <c r="B262">
        <f>261</f>
        <v>261</v>
      </c>
      <c r="C262" t="s">
        <v>466</v>
      </c>
      <c r="D262" t="s">
        <v>467</v>
      </c>
      <c r="E262">
        <v>98.4</v>
      </c>
      <c r="F262">
        <v>26.4</v>
      </c>
      <c r="G262">
        <v>46.7</v>
      </c>
      <c r="H262">
        <v>35.299999999999997</v>
      </c>
    </row>
    <row r="263" spans="1:8" x14ac:dyDescent="0.35">
      <c r="A263">
        <v>261</v>
      </c>
      <c r="B263">
        <f>261</f>
        <v>261</v>
      </c>
      <c r="C263" t="s">
        <v>468</v>
      </c>
      <c r="D263" t="s">
        <v>469</v>
      </c>
      <c r="E263">
        <v>23.8</v>
      </c>
      <c r="F263">
        <v>54.8</v>
      </c>
      <c r="G263">
        <v>90.5</v>
      </c>
      <c r="H263">
        <v>27</v>
      </c>
    </row>
    <row r="264" spans="1:8" x14ac:dyDescent="0.35">
      <c r="A264">
        <v>262</v>
      </c>
      <c r="B264">
        <v>263</v>
      </c>
      <c r="C264" t="s">
        <v>470</v>
      </c>
      <c r="D264" t="s">
        <v>383</v>
      </c>
      <c r="E264">
        <v>73.8</v>
      </c>
      <c r="F264">
        <v>46.3</v>
      </c>
      <c r="G264">
        <v>17.2</v>
      </c>
      <c r="H264">
        <v>31.9</v>
      </c>
    </row>
    <row r="265" spans="1:8" x14ac:dyDescent="0.35">
      <c r="A265">
        <v>263</v>
      </c>
      <c r="B265">
        <v>264</v>
      </c>
      <c r="C265" t="s">
        <v>471</v>
      </c>
      <c r="D265" t="s">
        <v>472</v>
      </c>
      <c r="E265">
        <v>43.2</v>
      </c>
      <c r="F265">
        <v>48.5</v>
      </c>
      <c r="G265">
        <v>30.7</v>
      </c>
      <c r="H265">
        <v>38</v>
      </c>
    </row>
    <row r="266" spans="1:8" x14ac:dyDescent="0.35">
      <c r="A266">
        <v>264</v>
      </c>
      <c r="B266">
        <v>265</v>
      </c>
      <c r="C266" t="s">
        <v>473</v>
      </c>
      <c r="D266" t="s">
        <v>474</v>
      </c>
      <c r="E266">
        <v>47.1</v>
      </c>
      <c r="F266">
        <v>34.1</v>
      </c>
      <c r="G266">
        <v>100</v>
      </c>
      <c r="H266">
        <v>30.8</v>
      </c>
    </row>
    <row r="267" spans="1:8" x14ac:dyDescent="0.35">
      <c r="A267">
        <v>265</v>
      </c>
      <c r="B267">
        <v>266</v>
      </c>
      <c r="C267" t="s">
        <v>475</v>
      </c>
      <c r="D267" t="s">
        <v>24</v>
      </c>
      <c r="E267">
        <v>97.5</v>
      </c>
      <c r="F267">
        <v>13.9</v>
      </c>
      <c r="G267">
        <v>96.3</v>
      </c>
      <c r="H267">
        <v>19.600000000000001</v>
      </c>
    </row>
    <row r="268" spans="1:8" x14ac:dyDescent="0.35">
      <c r="A268">
        <v>266</v>
      </c>
      <c r="B268">
        <v>267</v>
      </c>
      <c r="C268" t="s">
        <v>476</v>
      </c>
      <c r="D268" t="s">
        <v>304</v>
      </c>
      <c r="E268">
        <v>99.9</v>
      </c>
      <c r="F268">
        <v>21.6</v>
      </c>
      <c r="G268">
        <v>11.4</v>
      </c>
      <c r="H268">
        <v>23.1</v>
      </c>
    </row>
    <row r="269" spans="1:8" x14ac:dyDescent="0.35">
      <c r="A269">
        <v>267</v>
      </c>
      <c r="B269">
        <v>268</v>
      </c>
      <c r="C269" t="s">
        <v>477</v>
      </c>
      <c r="D269" t="s">
        <v>478</v>
      </c>
      <c r="E269">
        <v>35.799999999999997</v>
      </c>
      <c r="F269">
        <v>48.3</v>
      </c>
      <c r="G269">
        <v>59.8</v>
      </c>
      <c r="H269">
        <v>54.2</v>
      </c>
    </row>
    <row r="270" spans="1:8" x14ac:dyDescent="0.35">
      <c r="A270">
        <v>268</v>
      </c>
      <c r="B270">
        <v>269</v>
      </c>
      <c r="C270" t="s">
        <v>479</v>
      </c>
      <c r="D270" t="s">
        <v>480</v>
      </c>
      <c r="E270">
        <v>49</v>
      </c>
      <c r="F270">
        <v>45.6</v>
      </c>
      <c r="G270">
        <v>18.399999999999999</v>
      </c>
      <c r="H270">
        <v>49</v>
      </c>
    </row>
    <row r="271" spans="1:8" x14ac:dyDescent="0.35">
      <c r="A271">
        <v>269</v>
      </c>
      <c r="B271">
        <f>270</f>
        <v>270</v>
      </c>
      <c r="C271" t="s">
        <v>481</v>
      </c>
      <c r="D271" t="s">
        <v>482</v>
      </c>
      <c r="E271">
        <v>42.9</v>
      </c>
      <c r="F271">
        <v>33</v>
      </c>
      <c r="G271">
        <v>85.1</v>
      </c>
      <c r="H271">
        <v>48.5</v>
      </c>
    </row>
    <row r="272" spans="1:8" x14ac:dyDescent="0.35">
      <c r="A272">
        <v>270</v>
      </c>
      <c r="B272">
        <f>270</f>
        <v>270</v>
      </c>
      <c r="C272" t="s">
        <v>483</v>
      </c>
      <c r="D272" t="s">
        <v>484</v>
      </c>
      <c r="E272">
        <v>49.2</v>
      </c>
      <c r="F272">
        <v>67.7</v>
      </c>
      <c r="G272">
        <v>10.4</v>
      </c>
      <c r="H272">
        <v>35.799999999999997</v>
      </c>
    </row>
    <row r="273" spans="1:8" x14ac:dyDescent="0.35">
      <c r="A273">
        <v>271</v>
      </c>
      <c r="B273">
        <v>272</v>
      </c>
      <c r="C273" t="s">
        <v>485</v>
      </c>
      <c r="D273" t="s">
        <v>104</v>
      </c>
      <c r="E273">
        <v>20</v>
      </c>
      <c r="F273">
        <v>41</v>
      </c>
      <c r="G273">
        <v>59.2</v>
      </c>
      <c r="H273">
        <v>75.900000000000006</v>
      </c>
    </row>
    <row r="274" spans="1:8" x14ac:dyDescent="0.35">
      <c r="A274">
        <v>272</v>
      </c>
      <c r="B274">
        <f>273</f>
        <v>273</v>
      </c>
      <c r="C274" t="s">
        <v>486</v>
      </c>
      <c r="D274" t="s">
        <v>487</v>
      </c>
      <c r="E274">
        <v>12.4</v>
      </c>
      <c r="F274">
        <v>60.8</v>
      </c>
      <c r="G274">
        <v>33.799999999999997</v>
      </c>
      <c r="H274">
        <v>54.4</v>
      </c>
    </row>
    <row r="275" spans="1:8" x14ac:dyDescent="0.35">
      <c r="A275">
        <v>273</v>
      </c>
      <c r="B275">
        <f>273</f>
        <v>273</v>
      </c>
      <c r="C275" t="s">
        <v>488</v>
      </c>
      <c r="D275" t="s">
        <v>489</v>
      </c>
      <c r="E275">
        <v>54.2</v>
      </c>
      <c r="F275">
        <v>36.200000000000003</v>
      </c>
      <c r="G275">
        <v>23.3</v>
      </c>
      <c r="H275">
        <v>25</v>
      </c>
    </row>
    <row r="276" spans="1:8" x14ac:dyDescent="0.35">
      <c r="A276">
        <v>274</v>
      </c>
      <c r="B276">
        <v>275</v>
      </c>
      <c r="C276" t="s">
        <v>490</v>
      </c>
      <c r="D276" t="s">
        <v>491</v>
      </c>
      <c r="E276">
        <v>22.8</v>
      </c>
      <c r="F276">
        <v>39.1</v>
      </c>
      <c r="G276">
        <v>66.099999999999994</v>
      </c>
      <c r="H276">
        <v>41.7</v>
      </c>
    </row>
    <row r="277" spans="1:8" x14ac:dyDescent="0.35">
      <c r="A277">
        <v>275</v>
      </c>
      <c r="B277">
        <v>276</v>
      </c>
      <c r="C277" t="s">
        <v>492</v>
      </c>
      <c r="D277" t="s">
        <v>493</v>
      </c>
      <c r="E277">
        <v>2.7</v>
      </c>
      <c r="F277">
        <v>54.6</v>
      </c>
      <c r="G277">
        <v>74.5</v>
      </c>
      <c r="H277">
        <v>80.099999999999994</v>
      </c>
    </row>
    <row r="278" spans="1:8" x14ac:dyDescent="0.35">
      <c r="A278">
        <v>276</v>
      </c>
      <c r="B278">
        <f>277</f>
        <v>277</v>
      </c>
      <c r="C278" t="s">
        <v>494</v>
      </c>
      <c r="D278" t="s">
        <v>495</v>
      </c>
      <c r="E278">
        <v>29.7</v>
      </c>
      <c r="F278">
        <v>80.099999999999994</v>
      </c>
      <c r="G278">
        <v>23.1</v>
      </c>
      <c r="H278">
        <v>39.200000000000003</v>
      </c>
    </row>
    <row r="279" spans="1:8" x14ac:dyDescent="0.35">
      <c r="A279">
        <v>277</v>
      </c>
      <c r="B279">
        <f>277</f>
        <v>277</v>
      </c>
      <c r="C279" t="s">
        <v>496</v>
      </c>
      <c r="D279" t="s">
        <v>497</v>
      </c>
      <c r="E279">
        <v>54</v>
      </c>
      <c r="F279">
        <v>36.299999999999997</v>
      </c>
      <c r="G279">
        <v>45.7</v>
      </c>
      <c r="H279">
        <v>20.7</v>
      </c>
    </row>
    <row r="280" spans="1:8" x14ac:dyDescent="0.35">
      <c r="A280">
        <v>278</v>
      </c>
      <c r="B280">
        <f>279</f>
        <v>279</v>
      </c>
      <c r="C280" t="s">
        <v>498</v>
      </c>
      <c r="D280" t="s">
        <v>499</v>
      </c>
      <c r="E280">
        <v>5</v>
      </c>
      <c r="F280" t="s">
        <v>303</v>
      </c>
      <c r="G280">
        <v>42.4</v>
      </c>
      <c r="H280">
        <v>38.799999999999997</v>
      </c>
    </row>
    <row r="281" spans="1:8" x14ac:dyDescent="0.35">
      <c r="A281">
        <v>279</v>
      </c>
      <c r="B281">
        <v>8.8000000000000007</v>
      </c>
      <c r="C281">
        <v>90.2</v>
      </c>
      <c r="D281">
        <f>279</f>
        <v>279</v>
      </c>
      <c r="E281">
        <v>19.5</v>
      </c>
      <c r="F281">
        <v>40.5</v>
      </c>
      <c r="G281">
        <v>54</v>
      </c>
      <c r="H281">
        <v>67.8</v>
      </c>
    </row>
    <row r="282" spans="1:8" x14ac:dyDescent="0.35">
      <c r="A282">
        <v>280</v>
      </c>
      <c r="B282">
        <f>279</f>
        <v>279</v>
      </c>
      <c r="C282" t="s">
        <v>500</v>
      </c>
      <c r="D282" t="s">
        <v>102</v>
      </c>
      <c r="E282">
        <v>37.9</v>
      </c>
      <c r="F282">
        <v>44.8</v>
      </c>
      <c r="G282">
        <v>96.2</v>
      </c>
      <c r="H282">
        <v>32.9</v>
      </c>
    </row>
    <row r="283" spans="1:8" x14ac:dyDescent="0.35">
      <c r="A283">
        <v>281</v>
      </c>
      <c r="B283">
        <v>282</v>
      </c>
      <c r="C283" t="s">
        <v>501</v>
      </c>
      <c r="D283" t="s">
        <v>104</v>
      </c>
      <c r="E283">
        <v>10.6</v>
      </c>
      <c r="F283">
        <v>35.200000000000003</v>
      </c>
      <c r="G283">
        <v>90.8</v>
      </c>
      <c r="H283">
        <v>55.4</v>
      </c>
    </row>
    <row r="284" spans="1:8" x14ac:dyDescent="0.35">
      <c r="A284">
        <v>282</v>
      </c>
      <c r="B284">
        <f>283</f>
        <v>283</v>
      </c>
      <c r="C284" t="s">
        <v>502</v>
      </c>
      <c r="D284" t="s">
        <v>503</v>
      </c>
      <c r="E284">
        <v>68.8</v>
      </c>
      <c r="F284">
        <v>41.3</v>
      </c>
      <c r="G284">
        <v>33.9</v>
      </c>
      <c r="H284">
        <v>16.5</v>
      </c>
    </row>
    <row r="285" spans="1:8" x14ac:dyDescent="0.35">
      <c r="A285">
        <v>283</v>
      </c>
      <c r="B285">
        <f>283</f>
        <v>283</v>
      </c>
      <c r="C285" t="s">
        <v>504</v>
      </c>
      <c r="D285" t="s">
        <v>505</v>
      </c>
      <c r="E285">
        <v>39</v>
      </c>
      <c r="F285">
        <v>42.7</v>
      </c>
      <c r="G285">
        <v>65.099999999999994</v>
      </c>
      <c r="H285">
        <v>15.8</v>
      </c>
    </row>
    <row r="286" spans="1:8" x14ac:dyDescent="0.35">
      <c r="A286">
        <v>284</v>
      </c>
      <c r="B286">
        <f>283</f>
        <v>283</v>
      </c>
      <c r="C286" t="s">
        <v>506</v>
      </c>
      <c r="D286" t="s">
        <v>507</v>
      </c>
      <c r="E286">
        <v>72.099999999999994</v>
      </c>
      <c r="F286">
        <v>31.3</v>
      </c>
      <c r="G286">
        <v>7.1</v>
      </c>
      <c r="H286">
        <v>34.6</v>
      </c>
    </row>
    <row r="287" spans="1:8" x14ac:dyDescent="0.35">
      <c r="A287">
        <v>285</v>
      </c>
      <c r="B287">
        <f>283</f>
        <v>283</v>
      </c>
      <c r="C287" t="s">
        <v>508</v>
      </c>
      <c r="D287" t="s">
        <v>509</v>
      </c>
      <c r="E287">
        <v>66.3</v>
      </c>
      <c r="F287">
        <v>31.3</v>
      </c>
      <c r="G287">
        <v>30.3</v>
      </c>
      <c r="H287">
        <v>33</v>
      </c>
    </row>
    <row r="288" spans="1:8" x14ac:dyDescent="0.35">
      <c r="A288">
        <v>286</v>
      </c>
      <c r="B288">
        <v>287</v>
      </c>
      <c r="C288" t="s">
        <v>510</v>
      </c>
      <c r="D288" t="s">
        <v>511</v>
      </c>
      <c r="E288">
        <v>5.8</v>
      </c>
      <c r="F288">
        <v>59.9</v>
      </c>
      <c r="G288">
        <v>44.8</v>
      </c>
      <c r="H288">
        <v>76.2</v>
      </c>
    </row>
    <row r="289" spans="1:8" x14ac:dyDescent="0.35">
      <c r="A289">
        <v>287</v>
      </c>
      <c r="B289">
        <v>288</v>
      </c>
      <c r="C289" t="s">
        <v>512</v>
      </c>
      <c r="D289" t="s">
        <v>513</v>
      </c>
      <c r="E289">
        <v>42.4</v>
      </c>
      <c r="F289">
        <v>37.200000000000003</v>
      </c>
      <c r="G289">
        <v>47.6</v>
      </c>
      <c r="H289">
        <v>28.1</v>
      </c>
    </row>
    <row r="290" spans="1:8" x14ac:dyDescent="0.35">
      <c r="A290">
        <v>288</v>
      </c>
      <c r="B290">
        <f>289</f>
        <v>289</v>
      </c>
      <c r="C290" t="s">
        <v>514</v>
      </c>
      <c r="D290" t="s">
        <v>515</v>
      </c>
      <c r="E290">
        <v>18.7</v>
      </c>
      <c r="F290">
        <v>38.200000000000003</v>
      </c>
      <c r="G290">
        <v>70.099999999999994</v>
      </c>
      <c r="H290">
        <v>69.8</v>
      </c>
    </row>
    <row r="291" spans="1:8" x14ac:dyDescent="0.35">
      <c r="A291">
        <v>289</v>
      </c>
      <c r="B291">
        <f>289</f>
        <v>289</v>
      </c>
      <c r="C291" t="s">
        <v>516</v>
      </c>
      <c r="D291" t="s">
        <v>517</v>
      </c>
      <c r="E291">
        <v>8.3000000000000007</v>
      </c>
      <c r="F291">
        <v>61.4</v>
      </c>
      <c r="G291">
        <v>60.7</v>
      </c>
      <c r="H291">
        <v>56.6</v>
      </c>
    </row>
    <row r="292" spans="1:8" x14ac:dyDescent="0.35">
      <c r="A292">
        <v>290</v>
      </c>
      <c r="B292">
        <v>291</v>
      </c>
      <c r="C292" t="s">
        <v>518</v>
      </c>
      <c r="D292" t="s">
        <v>47</v>
      </c>
      <c r="E292">
        <v>98.4</v>
      </c>
      <c r="F292">
        <v>20.100000000000001</v>
      </c>
      <c r="G292">
        <v>11.1</v>
      </c>
      <c r="H292">
        <v>17.8</v>
      </c>
    </row>
    <row r="293" spans="1:8" x14ac:dyDescent="0.35">
      <c r="A293">
        <v>291</v>
      </c>
      <c r="B293">
        <v>292</v>
      </c>
      <c r="C293" t="s">
        <v>519</v>
      </c>
      <c r="D293" t="s">
        <v>520</v>
      </c>
      <c r="E293">
        <v>52.3</v>
      </c>
      <c r="F293">
        <v>26.3</v>
      </c>
      <c r="G293">
        <v>43.5</v>
      </c>
      <c r="H293">
        <v>31</v>
      </c>
    </row>
    <row r="294" spans="1:8" x14ac:dyDescent="0.35">
      <c r="A294">
        <v>292</v>
      </c>
      <c r="B294">
        <f>293</f>
        <v>293</v>
      </c>
      <c r="C294" t="s">
        <v>521</v>
      </c>
      <c r="D294" t="s">
        <v>420</v>
      </c>
      <c r="E294">
        <v>5.7</v>
      </c>
      <c r="F294">
        <v>78.7</v>
      </c>
      <c r="G294">
        <v>5.8</v>
      </c>
      <c r="H294">
        <v>82</v>
      </c>
    </row>
    <row r="295" spans="1:8" x14ac:dyDescent="0.35">
      <c r="A295">
        <v>293</v>
      </c>
      <c r="B295">
        <f>293</f>
        <v>293</v>
      </c>
      <c r="C295" t="s">
        <v>522</v>
      </c>
      <c r="D295" t="s">
        <v>523</v>
      </c>
      <c r="E295">
        <v>66.3</v>
      </c>
      <c r="F295">
        <v>30.7</v>
      </c>
      <c r="G295">
        <v>13</v>
      </c>
      <c r="H295">
        <v>26.1</v>
      </c>
    </row>
    <row r="296" spans="1:8" x14ac:dyDescent="0.35">
      <c r="A296">
        <v>294</v>
      </c>
      <c r="B296">
        <v>295</v>
      </c>
      <c r="C296" t="s">
        <v>524</v>
      </c>
      <c r="D296" t="s">
        <v>443</v>
      </c>
      <c r="E296">
        <v>25.4</v>
      </c>
      <c r="F296">
        <v>35.4</v>
      </c>
      <c r="G296">
        <v>70.7</v>
      </c>
      <c r="H296">
        <v>27.4</v>
      </c>
    </row>
    <row r="297" spans="1:8" x14ac:dyDescent="0.35">
      <c r="A297">
        <v>295</v>
      </c>
      <c r="B297">
        <f>296</f>
        <v>296</v>
      </c>
      <c r="C297" t="s">
        <v>525</v>
      </c>
      <c r="D297" t="s">
        <v>526</v>
      </c>
      <c r="E297">
        <v>73.599999999999994</v>
      </c>
      <c r="F297">
        <v>39.5</v>
      </c>
      <c r="G297">
        <v>3.7</v>
      </c>
      <c r="H297">
        <v>41.6</v>
      </c>
    </row>
    <row r="298" spans="1:8" x14ac:dyDescent="0.35">
      <c r="A298">
        <v>296</v>
      </c>
      <c r="B298">
        <f>296</f>
        <v>296</v>
      </c>
      <c r="C298" t="s">
        <v>527</v>
      </c>
      <c r="D298" t="s">
        <v>528</v>
      </c>
      <c r="E298">
        <v>98.3</v>
      </c>
      <c r="F298">
        <v>31.5</v>
      </c>
      <c r="G298">
        <v>12.9</v>
      </c>
      <c r="H298">
        <v>49.5</v>
      </c>
    </row>
    <row r="299" spans="1:8" x14ac:dyDescent="0.35">
      <c r="A299">
        <v>297</v>
      </c>
      <c r="B299">
        <v>298</v>
      </c>
      <c r="C299" t="s">
        <v>529</v>
      </c>
      <c r="D299" t="s">
        <v>530</v>
      </c>
      <c r="E299">
        <v>71.900000000000006</v>
      </c>
      <c r="F299">
        <v>29</v>
      </c>
      <c r="G299">
        <v>13.1</v>
      </c>
      <c r="H299">
        <v>25</v>
      </c>
    </row>
    <row r="300" spans="1:8" x14ac:dyDescent="0.35">
      <c r="A300">
        <v>298</v>
      </c>
      <c r="B300">
        <v>299</v>
      </c>
      <c r="C300" t="s">
        <v>531</v>
      </c>
      <c r="D300" t="s">
        <v>532</v>
      </c>
      <c r="E300">
        <v>99.3</v>
      </c>
      <c r="F300">
        <v>24.7</v>
      </c>
      <c r="G300">
        <v>91.1</v>
      </c>
      <c r="H300">
        <v>19.5</v>
      </c>
    </row>
    <row r="301" spans="1:8" x14ac:dyDescent="0.35">
      <c r="A301">
        <v>299</v>
      </c>
      <c r="B301">
        <f>300</f>
        <v>300</v>
      </c>
      <c r="C301" t="s">
        <v>533</v>
      </c>
      <c r="D301" t="s">
        <v>534</v>
      </c>
      <c r="E301">
        <v>100</v>
      </c>
      <c r="F301">
        <v>33.799999999999997</v>
      </c>
      <c r="G301">
        <v>12.5</v>
      </c>
      <c r="H301">
        <v>48.1</v>
      </c>
    </row>
    <row r="302" spans="1:8" x14ac:dyDescent="0.35">
      <c r="A302">
        <v>300</v>
      </c>
      <c r="B302">
        <f>300</f>
        <v>300</v>
      </c>
      <c r="C302" t="s">
        <v>535</v>
      </c>
      <c r="D302" t="s">
        <v>536</v>
      </c>
      <c r="E302">
        <v>32.700000000000003</v>
      </c>
      <c r="F302">
        <v>40.200000000000003</v>
      </c>
      <c r="G302">
        <v>73.900000000000006</v>
      </c>
      <c r="H302">
        <v>41.1</v>
      </c>
    </row>
    <row r="303" spans="1:8" x14ac:dyDescent="0.35">
      <c r="A303">
        <v>301</v>
      </c>
      <c r="B303">
        <v>302</v>
      </c>
      <c r="C303" t="s">
        <v>537</v>
      </c>
      <c r="D303" t="s">
        <v>520</v>
      </c>
      <c r="E303">
        <v>37.299999999999997</v>
      </c>
      <c r="F303">
        <v>39.200000000000003</v>
      </c>
      <c r="G303">
        <v>10.9</v>
      </c>
      <c r="H303">
        <v>47.6</v>
      </c>
    </row>
    <row r="304" spans="1:8" x14ac:dyDescent="0.35">
      <c r="A304">
        <v>302</v>
      </c>
      <c r="B304">
        <f>303</f>
        <v>303</v>
      </c>
      <c r="C304" t="s">
        <v>538</v>
      </c>
      <c r="D304" t="s">
        <v>66</v>
      </c>
      <c r="E304">
        <v>90.1</v>
      </c>
      <c r="F304">
        <v>38.5</v>
      </c>
      <c r="G304">
        <v>9.6</v>
      </c>
      <c r="H304">
        <v>15.9</v>
      </c>
    </row>
    <row r="305" spans="1:8" x14ac:dyDescent="0.35">
      <c r="A305">
        <v>303</v>
      </c>
      <c r="B305">
        <f>303</f>
        <v>303</v>
      </c>
      <c r="C305" t="s">
        <v>539</v>
      </c>
      <c r="D305" t="s">
        <v>540</v>
      </c>
      <c r="E305">
        <v>83.9</v>
      </c>
      <c r="F305">
        <v>36.5</v>
      </c>
      <c r="G305">
        <v>26.1</v>
      </c>
      <c r="H305">
        <v>35</v>
      </c>
    </row>
    <row r="306" spans="1:8" x14ac:dyDescent="0.35">
      <c r="A306">
        <v>304</v>
      </c>
      <c r="B306">
        <v>305</v>
      </c>
      <c r="C306" t="s">
        <v>541</v>
      </c>
      <c r="D306" t="s">
        <v>542</v>
      </c>
      <c r="E306">
        <v>24.3</v>
      </c>
      <c r="F306">
        <v>44.7</v>
      </c>
      <c r="G306">
        <v>9.6999999999999993</v>
      </c>
      <c r="H306">
        <v>92.6</v>
      </c>
    </row>
    <row r="307" spans="1:8" x14ac:dyDescent="0.35">
      <c r="A307">
        <v>305</v>
      </c>
      <c r="B307">
        <v>306</v>
      </c>
      <c r="C307" t="s">
        <v>543</v>
      </c>
      <c r="D307" t="s">
        <v>544</v>
      </c>
      <c r="E307">
        <v>40.9</v>
      </c>
      <c r="F307">
        <v>29</v>
      </c>
      <c r="G307">
        <v>62.3</v>
      </c>
      <c r="H307">
        <v>36.200000000000003</v>
      </c>
    </row>
    <row r="308" spans="1:8" x14ac:dyDescent="0.35">
      <c r="A308">
        <v>306</v>
      </c>
      <c r="B308">
        <v>307</v>
      </c>
      <c r="C308" t="s">
        <v>545</v>
      </c>
      <c r="D308" t="s">
        <v>306</v>
      </c>
      <c r="E308">
        <v>100</v>
      </c>
      <c r="F308">
        <v>34</v>
      </c>
      <c r="G308">
        <v>8.9</v>
      </c>
      <c r="H308">
        <v>40.1</v>
      </c>
    </row>
    <row r="309" spans="1:8" x14ac:dyDescent="0.35">
      <c r="A309">
        <v>307</v>
      </c>
      <c r="B309">
        <v>308</v>
      </c>
      <c r="C309" t="s">
        <v>546</v>
      </c>
      <c r="D309" t="s">
        <v>547</v>
      </c>
      <c r="E309">
        <v>50.5</v>
      </c>
      <c r="F309">
        <v>24.5</v>
      </c>
      <c r="G309">
        <v>51.5</v>
      </c>
      <c r="H309">
        <v>35.4</v>
      </c>
    </row>
    <row r="310" spans="1:8" x14ac:dyDescent="0.35">
      <c r="A310">
        <v>308</v>
      </c>
      <c r="B310">
        <f>309</f>
        <v>309</v>
      </c>
      <c r="C310" t="s">
        <v>548</v>
      </c>
      <c r="D310" t="s">
        <v>72</v>
      </c>
      <c r="E310">
        <v>27.3</v>
      </c>
      <c r="F310">
        <v>37.4</v>
      </c>
      <c r="G310">
        <v>84.8</v>
      </c>
      <c r="H310">
        <v>45.5</v>
      </c>
    </row>
    <row r="311" spans="1:8" x14ac:dyDescent="0.35">
      <c r="A311">
        <v>309</v>
      </c>
      <c r="B311">
        <f>309</f>
        <v>309</v>
      </c>
      <c r="C311" t="s">
        <v>549</v>
      </c>
      <c r="D311" t="s">
        <v>550</v>
      </c>
      <c r="E311">
        <v>98.8</v>
      </c>
      <c r="F311">
        <v>24.9</v>
      </c>
      <c r="G311">
        <v>23.7</v>
      </c>
      <c r="H311">
        <v>46.2</v>
      </c>
    </row>
    <row r="312" spans="1:8" x14ac:dyDescent="0.35">
      <c r="A312">
        <v>310</v>
      </c>
      <c r="B312">
        <v>311</v>
      </c>
      <c r="C312" t="s">
        <v>551</v>
      </c>
      <c r="D312" t="s">
        <v>552</v>
      </c>
      <c r="E312">
        <v>67.7</v>
      </c>
      <c r="F312">
        <v>23.3</v>
      </c>
      <c r="G312">
        <v>38.6</v>
      </c>
      <c r="H312">
        <v>12.8</v>
      </c>
    </row>
    <row r="313" spans="1:8" x14ac:dyDescent="0.35">
      <c r="A313">
        <v>311</v>
      </c>
      <c r="B313">
        <v>312</v>
      </c>
      <c r="C313" t="s">
        <v>553</v>
      </c>
      <c r="D313" t="s">
        <v>554</v>
      </c>
      <c r="E313">
        <v>56.8</v>
      </c>
      <c r="F313">
        <v>35.9</v>
      </c>
      <c r="G313">
        <v>5.8</v>
      </c>
      <c r="H313">
        <v>24.6</v>
      </c>
    </row>
    <row r="314" spans="1:8" x14ac:dyDescent="0.35">
      <c r="A314">
        <v>312</v>
      </c>
      <c r="B314">
        <v>313</v>
      </c>
      <c r="C314" t="s">
        <v>555</v>
      </c>
      <c r="D314" t="s">
        <v>556</v>
      </c>
      <c r="E314">
        <v>44.6</v>
      </c>
      <c r="F314">
        <v>47.9</v>
      </c>
      <c r="G314">
        <v>34.6</v>
      </c>
      <c r="H314">
        <v>40.299999999999997</v>
      </c>
    </row>
    <row r="315" spans="1:8" x14ac:dyDescent="0.35">
      <c r="A315">
        <v>313</v>
      </c>
      <c r="B315">
        <f>314</f>
        <v>314</v>
      </c>
      <c r="C315" t="s">
        <v>557</v>
      </c>
      <c r="D315" t="s">
        <v>558</v>
      </c>
      <c r="E315">
        <v>18.3</v>
      </c>
      <c r="F315">
        <v>48.9</v>
      </c>
      <c r="G315">
        <v>51.7</v>
      </c>
      <c r="H315">
        <v>50</v>
      </c>
    </row>
    <row r="316" spans="1:8" x14ac:dyDescent="0.35">
      <c r="A316">
        <v>314</v>
      </c>
      <c r="B316">
        <f>314</f>
        <v>314</v>
      </c>
      <c r="C316" t="s">
        <v>559</v>
      </c>
      <c r="D316" t="s">
        <v>364</v>
      </c>
      <c r="E316">
        <v>7.5</v>
      </c>
      <c r="F316">
        <v>47</v>
      </c>
      <c r="G316">
        <v>46.8</v>
      </c>
      <c r="H316">
        <v>55.1</v>
      </c>
    </row>
    <row r="317" spans="1:8" x14ac:dyDescent="0.35">
      <c r="A317">
        <v>315</v>
      </c>
      <c r="B317">
        <f>314</f>
        <v>314</v>
      </c>
      <c r="C317" t="s">
        <v>560</v>
      </c>
      <c r="D317" t="s">
        <v>561</v>
      </c>
      <c r="E317">
        <v>43.5</v>
      </c>
      <c r="F317">
        <v>31.1</v>
      </c>
      <c r="G317">
        <v>37.700000000000003</v>
      </c>
      <c r="H317">
        <v>23.7</v>
      </c>
    </row>
    <row r="318" spans="1:8" x14ac:dyDescent="0.35">
      <c r="A318">
        <v>316</v>
      </c>
      <c r="B318">
        <v>317</v>
      </c>
      <c r="C318" t="s">
        <v>562</v>
      </c>
      <c r="D318" t="s">
        <v>563</v>
      </c>
      <c r="E318">
        <v>99.8</v>
      </c>
      <c r="F318">
        <v>17.600000000000001</v>
      </c>
      <c r="G318">
        <v>91.1</v>
      </c>
      <c r="H318">
        <v>15.8</v>
      </c>
    </row>
    <row r="319" spans="1:8" x14ac:dyDescent="0.35">
      <c r="A319">
        <v>317</v>
      </c>
      <c r="B319">
        <f>318</f>
        <v>318</v>
      </c>
      <c r="C319" t="s">
        <v>564</v>
      </c>
      <c r="D319" t="s">
        <v>214</v>
      </c>
      <c r="E319">
        <v>2</v>
      </c>
      <c r="F319">
        <v>34.5</v>
      </c>
      <c r="G319">
        <v>99.9</v>
      </c>
      <c r="H319">
        <v>75.8</v>
      </c>
    </row>
    <row r="320" spans="1:8" x14ac:dyDescent="0.35">
      <c r="A320">
        <v>318</v>
      </c>
      <c r="B320">
        <f>318</f>
        <v>318</v>
      </c>
      <c r="C320" t="s">
        <v>565</v>
      </c>
      <c r="D320" t="s">
        <v>566</v>
      </c>
      <c r="E320">
        <v>61.1</v>
      </c>
      <c r="F320">
        <v>34</v>
      </c>
      <c r="G320">
        <v>11.3</v>
      </c>
      <c r="H320">
        <v>39.700000000000003</v>
      </c>
    </row>
    <row r="321" spans="1:8" x14ac:dyDescent="0.35">
      <c r="A321">
        <v>319</v>
      </c>
      <c r="B321">
        <f>320</f>
        <v>320</v>
      </c>
      <c r="C321" t="s">
        <v>567</v>
      </c>
      <c r="D321" t="s">
        <v>568</v>
      </c>
      <c r="E321">
        <v>54.4</v>
      </c>
      <c r="F321">
        <v>38.6</v>
      </c>
      <c r="G321">
        <v>13.1</v>
      </c>
      <c r="H321">
        <v>41.5</v>
      </c>
    </row>
    <row r="322" spans="1:8" x14ac:dyDescent="0.35">
      <c r="A322">
        <v>320</v>
      </c>
      <c r="B322">
        <f>320</f>
        <v>320</v>
      </c>
      <c r="C322" t="s">
        <v>569</v>
      </c>
      <c r="D322" t="s">
        <v>570</v>
      </c>
      <c r="E322">
        <v>27.7</v>
      </c>
      <c r="F322">
        <v>51</v>
      </c>
      <c r="G322">
        <v>51.6</v>
      </c>
      <c r="H322">
        <v>41.1</v>
      </c>
    </row>
    <row r="323" spans="1:8" x14ac:dyDescent="0.35">
      <c r="A323">
        <v>321</v>
      </c>
      <c r="B323">
        <f>322</f>
        <v>322</v>
      </c>
      <c r="C323" t="s">
        <v>571</v>
      </c>
      <c r="D323" t="s">
        <v>572</v>
      </c>
      <c r="E323">
        <v>40.6</v>
      </c>
      <c r="F323">
        <v>34.5</v>
      </c>
      <c r="G323">
        <v>30</v>
      </c>
      <c r="H323">
        <v>44.2</v>
      </c>
    </row>
    <row r="324" spans="1:8" x14ac:dyDescent="0.35">
      <c r="A324">
        <v>322</v>
      </c>
      <c r="B324">
        <f>322</f>
        <v>322</v>
      </c>
      <c r="C324" t="s">
        <v>573</v>
      </c>
      <c r="D324" t="s">
        <v>218</v>
      </c>
      <c r="E324">
        <v>55.2</v>
      </c>
      <c r="F324">
        <v>42.8</v>
      </c>
      <c r="G324">
        <v>6.5</v>
      </c>
      <c r="H324">
        <v>44.1</v>
      </c>
    </row>
    <row r="325" spans="1:8" x14ac:dyDescent="0.35">
      <c r="A325">
        <v>323</v>
      </c>
      <c r="B325">
        <f>322</f>
        <v>322</v>
      </c>
      <c r="C325" t="s">
        <v>574</v>
      </c>
      <c r="D325" t="s">
        <v>63</v>
      </c>
      <c r="E325">
        <v>38.9</v>
      </c>
      <c r="F325">
        <v>34.6</v>
      </c>
      <c r="G325">
        <v>4.5</v>
      </c>
      <c r="H325">
        <v>35.5</v>
      </c>
    </row>
    <row r="326" spans="1:8" x14ac:dyDescent="0.35">
      <c r="A326">
        <v>324</v>
      </c>
      <c r="B326">
        <v>325</v>
      </c>
      <c r="C326" t="s">
        <v>575</v>
      </c>
      <c r="D326" t="s">
        <v>68</v>
      </c>
      <c r="E326">
        <v>45.5</v>
      </c>
      <c r="F326">
        <v>24.9</v>
      </c>
      <c r="G326">
        <v>29.3</v>
      </c>
      <c r="H326">
        <v>34.9</v>
      </c>
    </row>
    <row r="327" spans="1:8" x14ac:dyDescent="0.35">
      <c r="A327">
        <v>325</v>
      </c>
      <c r="B327">
        <f>326</f>
        <v>326</v>
      </c>
      <c r="C327" t="s">
        <v>576</v>
      </c>
      <c r="D327" t="s">
        <v>577</v>
      </c>
      <c r="E327">
        <v>58.4</v>
      </c>
      <c r="F327">
        <v>22.7</v>
      </c>
      <c r="G327">
        <v>86.9</v>
      </c>
      <c r="H327">
        <v>14.7</v>
      </c>
    </row>
    <row r="328" spans="1:8" x14ac:dyDescent="0.35">
      <c r="A328">
        <v>326</v>
      </c>
      <c r="B328">
        <f>326</f>
        <v>326</v>
      </c>
      <c r="C328" t="s">
        <v>578</v>
      </c>
      <c r="D328" t="s">
        <v>579</v>
      </c>
      <c r="E328">
        <v>5</v>
      </c>
      <c r="F328" t="s">
        <v>303</v>
      </c>
      <c r="G328" t="s">
        <v>304</v>
      </c>
      <c r="H328">
        <v>7.6</v>
      </c>
    </row>
    <row r="329" spans="1:8" x14ac:dyDescent="0.35">
      <c r="A329">
        <v>327</v>
      </c>
      <c r="B329">
        <v>46.2</v>
      </c>
      <c r="C329">
        <v>30.7</v>
      </c>
      <c r="D329">
        <v>59.5</v>
      </c>
      <c r="E329">
        <v>36.299999999999997</v>
      </c>
      <c r="F329">
        <v>34.9</v>
      </c>
      <c r="G329">
        <v>5.5</v>
      </c>
      <c r="H329">
        <v>53.9</v>
      </c>
    </row>
    <row r="330" spans="1:8" x14ac:dyDescent="0.35">
      <c r="A330">
        <v>328</v>
      </c>
      <c r="B330">
        <f>329</f>
        <v>329</v>
      </c>
      <c r="C330" t="s">
        <v>580</v>
      </c>
      <c r="D330" t="s">
        <v>581</v>
      </c>
      <c r="E330">
        <v>65.400000000000006</v>
      </c>
      <c r="F330">
        <v>27.8</v>
      </c>
      <c r="G330">
        <v>30.3</v>
      </c>
      <c r="H330">
        <v>26.8</v>
      </c>
    </row>
    <row r="331" spans="1:8" x14ac:dyDescent="0.35">
      <c r="A331">
        <v>329</v>
      </c>
      <c r="B331">
        <f>329</f>
        <v>329</v>
      </c>
      <c r="C331" t="s">
        <v>582</v>
      </c>
      <c r="D331" t="s">
        <v>583</v>
      </c>
      <c r="E331">
        <v>9.5</v>
      </c>
      <c r="F331">
        <v>50</v>
      </c>
      <c r="G331">
        <v>71</v>
      </c>
      <c r="H331">
        <v>48.4</v>
      </c>
    </row>
    <row r="332" spans="1:8" x14ac:dyDescent="0.35">
      <c r="A332">
        <v>330</v>
      </c>
      <c r="B332">
        <f>329</f>
        <v>329</v>
      </c>
      <c r="C332" t="s">
        <v>584</v>
      </c>
      <c r="D332" t="s">
        <v>499</v>
      </c>
      <c r="E332">
        <v>55.7</v>
      </c>
      <c r="F332">
        <v>35</v>
      </c>
      <c r="G332">
        <v>16.8</v>
      </c>
      <c r="H332">
        <v>79.5</v>
      </c>
    </row>
    <row r="333" spans="1:8" x14ac:dyDescent="0.35">
      <c r="A333">
        <v>331</v>
      </c>
      <c r="B333">
        <f>329</f>
        <v>329</v>
      </c>
      <c r="C333" t="s">
        <v>585</v>
      </c>
      <c r="D333" t="s">
        <v>586</v>
      </c>
      <c r="E333">
        <v>91.7</v>
      </c>
      <c r="F333">
        <v>30</v>
      </c>
      <c r="G333">
        <v>29.8</v>
      </c>
      <c r="H333">
        <v>34.5</v>
      </c>
    </row>
    <row r="334" spans="1:8" x14ac:dyDescent="0.35">
      <c r="A334">
        <v>332</v>
      </c>
      <c r="B334">
        <v>333</v>
      </c>
      <c r="C334" t="s">
        <v>587</v>
      </c>
      <c r="D334" t="s">
        <v>588</v>
      </c>
      <c r="E334">
        <v>16.7</v>
      </c>
      <c r="F334">
        <v>30.3</v>
      </c>
      <c r="G334">
        <v>72.7</v>
      </c>
      <c r="H334">
        <v>18.600000000000001</v>
      </c>
    </row>
    <row r="335" spans="1:8" x14ac:dyDescent="0.35">
      <c r="A335">
        <v>333</v>
      </c>
      <c r="B335">
        <v>334</v>
      </c>
      <c r="C335" t="s">
        <v>589</v>
      </c>
      <c r="D335" t="s">
        <v>590</v>
      </c>
      <c r="E335">
        <v>35.9</v>
      </c>
      <c r="F335">
        <v>30</v>
      </c>
      <c r="G335">
        <v>71.3</v>
      </c>
      <c r="H335">
        <v>34.299999999999997</v>
      </c>
    </row>
    <row r="336" spans="1:8" x14ac:dyDescent="0.35">
      <c r="A336">
        <v>334</v>
      </c>
      <c r="B336">
        <f>335</f>
        <v>335</v>
      </c>
      <c r="C336" t="s">
        <v>591</v>
      </c>
      <c r="D336" t="s">
        <v>592</v>
      </c>
      <c r="E336">
        <v>98</v>
      </c>
      <c r="F336">
        <v>25.7</v>
      </c>
      <c r="G336">
        <v>7.7</v>
      </c>
      <c r="H336">
        <v>52.4</v>
      </c>
    </row>
    <row r="337" spans="1:8" x14ac:dyDescent="0.35">
      <c r="A337">
        <v>335</v>
      </c>
      <c r="B337">
        <f>335</f>
        <v>335</v>
      </c>
      <c r="C337" t="s">
        <v>593</v>
      </c>
      <c r="D337" t="s">
        <v>166</v>
      </c>
      <c r="E337">
        <v>97.6</v>
      </c>
      <c r="F337">
        <v>24.4</v>
      </c>
      <c r="G337">
        <v>22</v>
      </c>
      <c r="H337">
        <v>32.200000000000003</v>
      </c>
    </row>
    <row r="338" spans="1:8" x14ac:dyDescent="0.35">
      <c r="A338">
        <v>336</v>
      </c>
      <c r="B338">
        <v>337</v>
      </c>
      <c r="C338" t="s">
        <v>594</v>
      </c>
      <c r="D338" t="s">
        <v>428</v>
      </c>
      <c r="E338">
        <v>5</v>
      </c>
      <c r="F338" t="s">
        <v>303</v>
      </c>
      <c r="G338">
        <v>31.9</v>
      </c>
      <c r="H338">
        <v>42.8</v>
      </c>
    </row>
    <row r="339" spans="1:8" x14ac:dyDescent="0.35">
      <c r="A339">
        <v>337</v>
      </c>
      <c r="B339">
        <v>17.399999999999999</v>
      </c>
      <c r="C339">
        <v>39.700000000000003</v>
      </c>
      <c r="D339">
        <f>338</f>
        <v>338</v>
      </c>
      <c r="E339">
        <v>5</v>
      </c>
      <c r="F339" t="s">
        <v>303</v>
      </c>
      <c r="G339" t="s">
        <v>304</v>
      </c>
      <c r="H339">
        <v>1.9</v>
      </c>
    </row>
    <row r="340" spans="1:8" x14ac:dyDescent="0.35">
      <c r="A340">
        <v>338</v>
      </c>
      <c r="B340">
        <v>34.700000000000003</v>
      </c>
      <c r="C340">
        <v>96.4</v>
      </c>
      <c r="D340">
        <v>77.3</v>
      </c>
      <c r="E340">
        <v>47.8</v>
      </c>
      <c r="F340">
        <v>25.5</v>
      </c>
      <c r="G340">
        <v>59.8</v>
      </c>
      <c r="H340">
        <v>26.7</v>
      </c>
    </row>
    <row r="341" spans="1:8" x14ac:dyDescent="0.35">
      <c r="A341">
        <v>339</v>
      </c>
      <c r="B341">
        <f>338</f>
        <v>338</v>
      </c>
      <c r="C341" t="s">
        <v>595</v>
      </c>
      <c r="D341" t="s">
        <v>596</v>
      </c>
      <c r="E341">
        <v>44</v>
      </c>
      <c r="F341">
        <v>24.7</v>
      </c>
      <c r="G341">
        <v>54.5</v>
      </c>
      <c r="H341">
        <v>33.200000000000003</v>
      </c>
    </row>
    <row r="342" spans="1:8" x14ac:dyDescent="0.35">
      <c r="A342">
        <v>340</v>
      </c>
      <c r="B342">
        <v>341</v>
      </c>
      <c r="C342" t="s">
        <v>597</v>
      </c>
      <c r="D342" t="s">
        <v>598</v>
      </c>
      <c r="E342">
        <v>57.5</v>
      </c>
      <c r="F342">
        <v>53.7</v>
      </c>
      <c r="G342">
        <v>10.3</v>
      </c>
      <c r="H342">
        <v>29.9</v>
      </c>
    </row>
    <row r="343" spans="1:8" x14ac:dyDescent="0.35">
      <c r="A343">
        <v>341</v>
      </c>
      <c r="B343">
        <f>342</f>
        <v>342</v>
      </c>
      <c r="C343" t="s">
        <v>599</v>
      </c>
      <c r="D343" t="s">
        <v>463</v>
      </c>
      <c r="E343">
        <v>99.5</v>
      </c>
      <c r="F343">
        <v>21.7</v>
      </c>
      <c r="G343">
        <v>31.4</v>
      </c>
      <c r="H343">
        <v>30.6</v>
      </c>
    </row>
    <row r="344" spans="1:8" x14ac:dyDescent="0.35">
      <c r="A344">
        <v>342</v>
      </c>
      <c r="B344">
        <f>342</f>
        <v>342</v>
      </c>
      <c r="C344" t="s">
        <v>600</v>
      </c>
      <c r="D344" t="s">
        <v>601</v>
      </c>
      <c r="E344">
        <v>5</v>
      </c>
      <c r="F344" t="s">
        <v>303</v>
      </c>
      <c r="G344">
        <v>62.7</v>
      </c>
      <c r="H344">
        <v>40.299999999999997</v>
      </c>
    </row>
    <row r="345" spans="1:8" x14ac:dyDescent="0.35">
      <c r="A345">
        <v>343</v>
      </c>
      <c r="B345">
        <v>15</v>
      </c>
      <c r="C345">
        <v>26.9</v>
      </c>
      <c r="D345">
        <f>342</f>
        <v>342</v>
      </c>
      <c r="E345">
        <v>63.7</v>
      </c>
      <c r="F345">
        <v>42.3</v>
      </c>
      <c r="G345">
        <v>15.7</v>
      </c>
      <c r="H345">
        <v>28.7</v>
      </c>
    </row>
    <row r="346" spans="1:8" x14ac:dyDescent="0.35">
      <c r="A346">
        <v>344</v>
      </c>
      <c r="B346">
        <f>345</f>
        <v>345</v>
      </c>
      <c r="C346" t="s">
        <v>602</v>
      </c>
      <c r="D346" t="s">
        <v>499</v>
      </c>
      <c r="E346">
        <v>28.1</v>
      </c>
      <c r="F346">
        <v>35.299999999999997</v>
      </c>
      <c r="G346">
        <v>4</v>
      </c>
      <c r="H346">
        <v>89.2</v>
      </c>
    </row>
    <row r="347" spans="1:8" x14ac:dyDescent="0.35">
      <c r="A347">
        <v>345</v>
      </c>
      <c r="B347">
        <f>345</f>
        <v>345</v>
      </c>
      <c r="C347" t="s">
        <v>603</v>
      </c>
      <c r="D347" t="s">
        <v>604</v>
      </c>
      <c r="E347">
        <v>8.6</v>
      </c>
      <c r="F347">
        <v>61.7</v>
      </c>
      <c r="G347">
        <v>81.900000000000006</v>
      </c>
      <c r="H347">
        <v>34.9</v>
      </c>
    </row>
    <row r="348" spans="1:8" x14ac:dyDescent="0.35">
      <c r="A348">
        <v>346</v>
      </c>
      <c r="B348">
        <f>345</f>
        <v>345</v>
      </c>
      <c r="C348" t="s">
        <v>605</v>
      </c>
      <c r="D348" t="s">
        <v>606</v>
      </c>
      <c r="E348">
        <v>28.3</v>
      </c>
      <c r="F348">
        <v>26.6</v>
      </c>
      <c r="G348">
        <v>96</v>
      </c>
      <c r="H348">
        <v>13.8</v>
      </c>
    </row>
    <row r="349" spans="1:8" x14ac:dyDescent="0.35">
      <c r="A349">
        <v>347</v>
      </c>
      <c r="B349">
        <v>348</v>
      </c>
      <c r="C349" t="s">
        <v>607</v>
      </c>
      <c r="D349" t="s">
        <v>608</v>
      </c>
      <c r="E349">
        <v>41.7</v>
      </c>
      <c r="F349">
        <v>27.4</v>
      </c>
      <c r="G349">
        <v>26.5</v>
      </c>
      <c r="H349">
        <v>48.3</v>
      </c>
    </row>
    <row r="350" spans="1:8" x14ac:dyDescent="0.35">
      <c r="A350">
        <v>348</v>
      </c>
      <c r="B350">
        <f>349</f>
        <v>349</v>
      </c>
      <c r="C350" t="s">
        <v>609</v>
      </c>
      <c r="D350" t="s">
        <v>29</v>
      </c>
      <c r="E350">
        <v>92.1</v>
      </c>
      <c r="F350">
        <v>21</v>
      </c>
      <c r="G350">
        <v>62.8</v>
      </c>
      <c r="H350">
        <v>34</v>
      </c>
    </row>
    <row r="351" spans="1:8" x14ac:dyDescent="0.35">
      <c r="A351">
        <v>349</v>
      </c>
      <c r="B351">
        <f>349</f>
        <v>349</v>
      </c>
      <c r="C351" t="s">
        <v>610</v>
      </c>
      <c r="D351" t="s">
        <v>611</v>
      </c>
      <c r="E351">
        <v>91.5</v>
      </c>
      <c r="F351">
        <v>23.3</v>
      </c>
      <c r="G351">
        <v>10.5</v>
      </c>
      <c r="H351">
        <v>71.7</v>
      </c>
    </row>
    <row r="352" spans="1:8" x14ac:dyDescent="0.35">
      <c r="A352">
        <v>350</v>
      </c>
      <c r="B352">
        <f>351</f>
        <v>351</v>
      </c>
      <c r="C352" t="s">
        <v>612</v>
      </c>
      <c r="D352" t="s">
        <v>327</v>
      </c>
      <c r="E352">
        <v>4</v>
      </c>
      <c r="F352" t="s">
        <v>303</v>
      </c>
      <c r="G352" t="s">
        <v>304</v>
      </c>
      <c r="H352">
        <v>1.8</v>
      </c>
    </row>
    <row r="353" spans="1:8" x14ac:dyDescent="0.35">
      <c r="A353">
        <v>351</v>
      </c>
      <c r="B353">
        <v>34.799999999999997</v>
      </c>
      <c r="C353">
        <v>96.2</v>
      </c>
      <c r="D353">
        <v>51.8</v>
      </c>
      <c r="E353">
        <v>27.4</v>
      </c>
      <c r="F353">
        <v>49.5</v>
      </c>
      <c r="G353">
        <v>54.1</v>
      </c>
      <c r="H353">
        <v>43.4</v>
      </c>
    </row>
    <row r="354" spans="1:8" x14ac:dyDescent="0.35">
      <c r="A354">
        <v>352</v>
      </c>
      <c r="B354">
        <v>353</v>
      </c>
      <c r="C354" t="s">
        <v>613</v>
      </c>
      <c r="D354" t="s">
        <v>10</v>
      </c>
      <c r="E354">
        <v>59.4</v>
      </c>
      <c r="F354">
        <v>18.5</v>
      </c>
      <c r="G354">
        <v>13.6</v>
      </c>
      <c r="H354">
        <v>24.1</v>
      </c>
    </row>
    <row r="355" spans="1:8" x14ac:dyDescent="0.35">
      <c r="A355">
        <v>353</v>
      </c>
      <c r="B355">
        <f>354</f>
        <v>354</v>
      </c>
      <c r="C355" t="s">
        <v>614</v>
      </c>
      <c r="D355" t="s">
        <v>10</v>
      </c>
      <c r="E355">
        <v>80.599999999999994</v>
      </c>
      <c r="F355">
        <v>17.100000000000001</v>
      </c>
      <c r="G355">
        <v>20.3</v>
      </c>
      <c r="H355">
        <v>8.5</v>
      </c>
    </row>
    <row r="356" spans="1:8" x14ac:dyDescent="0.35">
      <c r="A356">
        <v>354</v>
      </c>
      <c r="B356">
        <f>354</f>
        <v>354</v>
      </c>
      <c r="C356" t="s">
        <v>615</v>
      </c>
      <c r="D356" t="s">
        <v>66</v>
      </c>
      <c r="E356">
        <v>3.3</v>
      </c>
      <c r="F356">
        <v>26.4</v>
      </c>
      <c r="G356">
        <v>76.2</v>
      </c>
      <c r="H356">
        <v>55.8</v>
      </c>
    </row>
    <row r="357" spans="1:8" x14ac:dyDescent="0.35">
      <c r="A357">
        <v>355</v>
      </c>
      <c r="B357">
        <f>354</f>
        <v>354</v>
      </c>
      <c r="C357" t="s">
        <v>616</v>
      </c>
      <c r="D357" t="s">
        <v>104</v>
      </c>
      <c r="E357">
        <v>31.4</v>
      </c>
      <c r="F357">
        <v>24</v>
      </c>
      <c r="G357">
        <v>60.8</v>
      </c>
      <c r="H357">
        <v>46</v>
      </c>
    </row>
    <row r="358" spans="1:8" x14ac:dyDescent="0.35">
      <c r="A358">
        <v>356</v>
      </c>
      <c r="B358">
        <f>357</f>
        <v>357</v>
      </c>
      <c r="C358" t="s">
        <v>617</v>
      </c>
      <c r="D358" t="s">
        <v>618</v>
      </c>
      <c r="E358">
        <v>2</v>
      </c>
      <c r="F358">
        <v>65</v>
      </c>
      <c r="G358">
        <v>58.2</v>
      </c>
      <c r="H358">
        <v>54</v>
      </c>
    </row>
    <row r="359" spans="1:8" x14ac:dyDescent="0.35">
      <c r="A359">
        <v>357</v>
      </c>
      <c r="B359">
        <f>357</f>
        <v>357</v>
      </c>
      <c r="C359" t="s">
        <v>619</v>
      </c>
      <c r="D359" t="s">
        <v>499</v>
      </c>
      <c r="E359">
        <v>45.1</v>
      </c>
      <c r="F359">
        <v>25.4</v>
      </c>
      <c r="G359">
        <v>42.6</v>
      </c>
      <c r="H359">
        <v>69.099999999999994</v>
      </c>
    </row>
    <row r="360" spans="1:8" x14ac:dyDescent="0.35">
      <c r="A360">
        <v>358</v>
      </c>
      <c r="B360">
        <v>359</v>
      </c>
      <c r="C360" t="s">
        <v>620</v>
      </c>
      <c r="D360" t="s">
        <v>214</v>
      </c>
      <c r="E360">
        <v>3.6</v>
      </c>
      <c r="F360">
        <v>24</v>
      </c>
      <c r="G360">
        <v>93.5</v>
      </c>
      <c r="H360">
        <v>74.099999999999994</v>
      </c>
    </row>
    <row r="361" spans="1:8" x14ac:dyDescent="0.35">
      <c r="A361">
        <v>359</v>
      </c>
      <c r="B361">
        <f>360</f>
        <v>360</v>
      </c>
      <c r="C361" t="s">
        <v>621</v>
      </c>
      <c r="D361" t="s">
        <v>622</v>
      </c>
      <c r="E361">
        <v>23.6</v>
      </c>
      <c r="F361">
        <v>45.4</v>
      </c>
      <c r="G361">
        <v>36.6</v>
      </c>
      <c r="H361">
        <v>38.299999999999997</v>
      </c>
    </row>
    <row r="362" spans="1:8" x14ac:dyDescent="0.35">
      <c r="A362">
        <v>360</v>
      </c>
      <c r="B362">
        <f>360</f>
        <v>360</v>
      </c>
      <c r="C362" t="s">
        <v>623</v>
      </c>
      <c r="D362" t="s">
        <v>29</v>
      </c>
      <c r="E362">
        <v>67.8</v>
      </c>
      <c r="F362">
        <v>33.700000000000003</v>
      </c>
      <c r="G362">
        <v>100</v>
      </c>
      <c r="H362">
        <v>18.100000000000001</v>
      </c>
    </row>
    <row r="363" spans="1:8" x14ac:dyDescent="0.35">
      <c r="A363">
        <v>361</v>
      </c>
      <c r="B363">
        <f>360</f>
        <v>360</v>
      </c>
      <c r="C363" t="s">
        <v>624</v>
      </c>
      <c r="D363" t="s">
        <v>625</v>
      </c>
      <c r="E363">
        <v>73.099999999999994</v>
      </c>
      <c r="F363">
        <v>22.8</v>
      </c>
      <c r="G363">
        <v>25.2</v>
      </c>
      <c r="H363">
        <v>17.600000000000001</v>
      </c>
    </row>
    <row r="364" spans="1:8" x14ac:dyDescent="0.35">
      <c r="A364">
        <v>362</v>
      </c>
      <c r="B364">
        <f>361</f>
        <v>361</v>
      </c>
      <c r="C364" t="s">
        <v>626</v>
      </c>
      <c r="D364" t="s">
        <v>10</v>
      </c>
      <c r="E364">
        <v>48.9</v>
      </c>
      <c r="F364">
        <v>23.8</v>
      </c>
      <c r="G364">
        <v>7.6</v>
      </c>
      <c r="H364">
        <v>29.9</v>
      </c>
    </row>
    <row r="365" spans="1:8" x14ac:dyDescent="0.35">
      <c r="A365">
        <v>363</v>
      </c>
      <c r="B365">
        <v>363</v>
      </c>
      <c r="C365" t="s">
        <v>627</v>
      </c>
      <c r="D365" t="s">
        <v>628</v>
      </c>
      <c r="E365">
        <v>6.1</v>
      </c>
      <c r="F365">
        <v>56.3</v>
      </c>
      <c r="G365">
        <v>12.7</v>
      </c>
      <c r="H365">
        <v>59.8</v>
      </c>
    </row>
    <row r="366" spans="1:8" x14ac:dyDescent="0.35">
      <c r="A366">
        <v>364</v>
      </c>
      <c r="B366">
        <f>364</f>
        <v>364</v>
      </c>
      <c r="C366" t="s">
        <v>629</v>
      </c>
      <c r="D366" t="s">
        <v>364</v>
      </c>
      <c r="E366">
        <v>16.5</v>
      </c>
      <c r="F366">
        <v>43</v>
      </c>
      <c r="G366">
        <v>20.3</v>
      </c>
      <c r="H366">
        <v>64.3</v>
      </c>
    </row>
    <row r="367" spans="1:8" x14ac:dyDescent="0.35">
      <c r="A367">
        <v>365</v>
      </c>
      <c r="B367">
        <f>364</f>
        <v>364</v>
      </c>
      <c r="C367" t="s">
        <v>630</v>
      </c>
      <c r="D367" t="s">
        <v>631</v>
      </c>
      <c r="E367">
        <v>69.099999999999994</v>
      </c>
      <c r="F367">
        <v>25.3</v>
      </c>
      <c r="G367">
        <v>8</v>
      </c>
      <c r="H367">
        <v>19.7</v>
      </c>
    </row>
    <row r="368" spans="1:8" x14ac:dyDescent="0.35">
      <c r="A368">
        <v>366</v>
      </c>
      <c r="B368">
        <v>366</v>
      </c>
      <c r="C368" t="s">
        <v>632</v>
      </c>
      <c r="D368" t="s">
        <v>633</v>
      </c>
      <c r="E368">
        <v>32.200000000000003</v>
      </c>
      <c r="F368">
        <v>36.200000000000003</v>
      </c>
      <c r="G368">
        <v>25</v>
      </c>
      <c r="H368">
        <v>46.5</v>
      </c>
    </row>
    <row r="369" spans="1:8" x14ac:dyDescent="0.35">
      <c r="A369">
        <v>367</v>
      </c>
      <c r="B369">
        <f>367</f>
        <v>367</v>
      </c>
      <c r="C369" t="s">
        <v>634</v>
      </c>
      <c r="D369" t="s">
        <v>635</v>
      </c>
      <c r="E369">
        <v>12.5</v>
      </c>
      <c r="F369">
        <v>70.7</v>
      </c>
      <c r="G369">
        <v>15.7</v>
      </c>
      <c r="H369">
        <v>25.9</v>
      </c>
    </row>
    <row r="370" spans="1:8" x14ac:dyDescent="0.35">
      <c r="A370">
        <v>368</v>
      </c>
      <c r="B370">
        <f>367</f>
        <v>367</v>
      </c>
      <c r="C370" t="s">
        <v>636</v>
      </c>
      <c r="D370" t="s">
        <v>637</v>
      </c>
      <c r="E370">
        <v>14.7</v>
      </c>
      <c r="F370">
        <v>29.5</v>
      </c>
      <c r="G370">
        <v>95.8</v>
      </c>
      <c r="H370">
        <v>23.3</v>
      </c>
    </row>
    <row r="371" spans="1:8" x14ac:dyDescent="0.35">
      <c r="A371">
        <v>369</v>
      </c>
      <c r="B371">
        <f>367</f>
        <v>367</v>
      </c>
      <c r="C371" t="s">
        <v>638</v>
      </c>
      <c r="D371" t="s">
        <v>639</v>
      </c>
      <c r="E371">
        <v>89.9</v>
      </c>
      <c r="F371">
        <v>30</v>
      </c>
      <c r="G371">
        <v>3.6</v>
      </c>
      <c r="H371">
        <v>31.9</v>
      </c>
    </row>
    <row r="372" spans="1:8" x14ac:dyDescent="0.35">
      <c r="A372">
        <v>370</v>
      </c>
      <c r="B372">
        <f>370</f>
        <v>370</v>
      </c>
      <c r="C372" t="s">
        <v>640</v>
      </c>
      <c r="D372" t="s">
        <v>49</v>
      </c>
      <c r="E372">
        <v>33.9</v>
      </c>
      <c r="F372">
        <v>48.3</v>
      </c>
      <c r="G372">
        <v>27.6</v>
      </c>
      <c r="H372">
        <v>38.1</v>
      </c>
    </row>
    <row r="373" spans="1:8" x14ac:dyDescent="0.35">
      <c r="A373">
        <v>371</v>
      </c>
      <c r="B373">
        <f>370</f>
        <v>370</v>
      </c>
      <c r="C373" t="s">
        <v>641</v>
      </c>
      <c r="D373" t="s">
        <v>642</v>
      </c>
      <c r="E373">
        <v>13.3</v>
      </c>
      <c r="F373">
        <v>42.2</v>
      </c>
      <c r="G373">
        <v>85.6</v>
      </c>
      <c r="H373">
        <v>32.299999999999997</v>
      </c>
    </row>
    <row r="374" spans="1:8" x14ac:dyDescent="0.35">
      <c r="A374">
        <v>372</v>
      </c>
      <c r="B374">
        <f>370</f>
        <v>370</v>
      </c>
      <c r="C374" t="s">
        <v>643</v>
      </c>
      <c r="D374" t="s">
        <v>644</v>
      </c>
      <c r="E374">
        <v>77.400000000000006</v>
      </c>
      <c r="F374">
        <v>25.3</v>
      </c>
      <c r="G374">
        <v>5.7</v>
      </c>
      <c r="H374">
        <v>18.100000000000001</v>
      </c>
    </row>
    <row r="375" spans="1:8" x14ac:dyDescent="0.35">
      <c r="A375">
        <v>373</v>
      </c>
      <c r="B375">
        <f>370</f>
        <v>370</v>
      </c>
      <c r="C375" t="s">
        <v>645</v>
      </c>
      <c r="D375" t="s">
        <v>646</v>
      </c>
      <c r="E375">
        <v>56.1</v>
      </c>
      <c r="F375">
        <v>28.5</v>
      </c>
      <c r="G375">
        <v>5.4</v>
      </c>
      <c r="H375">
        <v>22.3</v>
      </c>
    </row>
    <row r="376" spans="1:8" x14ac:dyDescent="0.35">
      <c r="A376">
        <v>374</v>
      </c>
      <c r="B376">
        <f>374</f>
        <v>374</v>
      </c>
      <c r="C376" t="s">
        <v>647</v>
      </c>
      <c r="D376" t="s">
        <v>145</v>
      </c>
      <c r="E376">
        <v>63</v>
      </c>
      <c r="F376">
        <v>22.2</v>
      </c>
      <c r="G376">
        <v>10.7</v>
      </c>
      <c r="H376">
        <v>13.3</v>
      </c>
    </row>
    <row r="377" spans="1:8" x14ac:dyDescent="0.35">
      <c r="A377">
        <v>375</v>
      </c>
      <c r="B377">
        <f>376</f>
        <v>376</v>
      </c>
      <c r="C377" t="s">
        <v>648</v>
      </c>
      <c r="D377" t="s">
        <v>649</v>
      </c>
      <c r="E377">
        <v>31</v>
      </c>
      <c r="F377">
        <v>46.6</v>
      </c>
      <c r="G377">
        <v>28.6</v>
      </c>
      <c r="H377">
        <v>28</v>
      </c>
    </row>
    <row r="378" spans="1:8" x14ac:dyDescent="0.35">
      <c r="A378">
        <v>376</v>
      </c>
      <c r="B378">
        <f>376</f>
        <v>376</v>
      </c>
      <c r="C378" t="s">
        <v>650</v>
      </c>
      <c r="D378" t="s">
        <v>651</v>
      </c>
      <c r="E378">
        <v>39.6</v>
      </c>
      <c r="F378">
        <v>13.8</v>
      </c>
      <c r="G378">
        <v>80.7</v>
      </c>
      <c r="H378">
        <v>9.1999999999999993</v>
      </c>
    </row>
    <row r="379" spans="1:8" x14ac:dyDescent="0.35">
      <c r="A379">
        <v>377</v>
      </c>
      <c r="B379">
        <v>378</v>
      </c>
      <c r="C379" t="s">
        <v>652</v>
      </c>
      <c r="D379" t="s">
        <v>653</v>
      </c>
      <c r="E379">
        <v>77.3</v>
      </c>
      <c r="F379">
        <v>27.4</v>
      </c>
      <c r="G379">
        <v>5.8</v>
      </c>
      <c r="H379">
        <v>43.5</v>
      </c>
    </row>
    <row r="380" spans="1:8" x14ac:dyDescent="0.35">
      <c r="A380">
        <v>378</v>
      </c>
      <c r="B380">
        <f>379</f>
        <v>379</v>
      </c>
      <c r="C380" t="s">
        <v>654</v>
      </c>
      <c r="D380" t="s">
        <v>655</v>
      </c>
      <c r="E380">
        <v>98.9</v>
      </c>
      <c r="F380">
        <v>19.8</v>
      </c>
      <c r="G380">
        <v>64.2</v>
      </c>
      <c r="H380">
        <v>14</v>
      </c>
    </row>
    <row r="381" spans="1:8" x14ac:dyDescent="0.35">
      <c r="A381">
        <v>379</v>
      </c>
      <c r="B381">
        <f>379</f>
        <v>379</v>
      </c>
      <c r="C381" t="s">
        <v>656</v>
      </c>
      <c r="D381" t="s">
        <v>657</v>
      </c>
      <c r="E381">
        <v>48.2</v>
      </c>
      <c r="F381">
        <v>32.1</v>
      </c>
      <c r="G381">
        <v>43.5</v>
      </c>
      <c r="H381">
        <v>46.9</v>
      </c>
    </row>
    <row r="382" spans="1:8" x14ac:dyDescent="0.35">
      <c r="A382">
        <v>380</v>
      </c>
      <c r="B382">
        <f>381</f>
        <v>381</v>
      </c>
      <c r="C382" t="s">
        <v>658</v>
      </c>
      <c r="D382" t="s">
        <v>515</v>
      </c>
      <c r="E382">
        <v>5</v>
      </c>
      <c r="F382" t="s">
        <v>303</v>
      </c>
      <c r="G382">
        <v>31.1</v>
      </c>
      <c r="H382">
        <v>29.1</v>
      </c>
    </row>
    <row r="383" spans="1:8" x14ac:dyDescent="0.35">
      <c r="A383">
        <v>381</v>
      </c>
      <c r="B383">
        <v>32.6</v>
      </c>
      <c r="C383">
        <v>46.9</v>
      </c>
      <c r="D383">
        <f>381</f>
        <v>381</v>
      </c>
      <c r="E383">
        <v>97.2</v>
      </c>
      <c r="F383">
        <v>20.5</v>
      </c>
      <c r="G383">
        <v>5.3</v>
      </c>
      <c r="H383">
        <v>42.3</v>
      </c>
    </row>
    <row r="384" spans="1:8" x14ac:dyDescent="0.35">
      <c r="A384">
        <v>382</v>
      </c>
      <c r="B384">
        <f>381</f>
        <v>381</v>
      </c>
      <c r="C384" t="s">
        <v>659</v>
      </c>
      <c r="D384" t="s">
        <v>660</v>
      </c>
      <c r="E384">
        <v>5</v>
      </c>
      <c r="F384" t="s">
        <v>303</v>
      </c>
      <c r="G384">
        <v>58.9</v>
      </c>
      <c r="H384">
        <v>22.9</v>
      </c>
    </row>
    <row r="385" spans="1:8" x14ac:dyDescent="0.35">
      <c r="A385">
        <v>383</v>
      </c>
      <c r="B385">
        <v>24.7</v>
      </c>
      <c r="C385">
        <v>17.100000000000001</v>
      </c>
      <c r="D385">
        <v>384</v>
      </c>
      <c r="E385">
        <v>40.4</v>
      </c>
      <c r="F385">
        <v>26.1</v>
      </c>
      <c r="G385">
        <v>55.8</v>
      </c>
      <c r="H385">
        <v>70.2</v>
      </c>
    </row>
    <row r="386" spans="1:8" x14ac:dyDescent="0.35">
      <c r="A386">
        <v>384</v>
      </c>
      <c r="B386">
        <f>385</f>
        <v>385</v>
      </c>
      <c r="C386" t="s">
        <v>661</v>
      </c>
      <c r="D386" t="s">
        <v>662</v>
      </c>
      <c r="E386">
        <v>100</v>
      </c>
      <c r="F386">
        <v>15.4</v>
      </c>
      <c r="G386">
        <v>77.3</v>
      </c>
      <c r="H386">
        <v>22.3</v>
      </c>
    </row>
    <row r="387" spans="1:8" x14ac:dyDescent="0.35">
      <c r="A387">
        <v>385</v>
      </c>
      <c r="B387">
        <f>385</f>
        <v>385</v>
      </c>
      <c r="C387" t="s">
        <v>663</v>
      </c>
      <c r="D387" t="s">
        <v>174</v>
      </c>
      <c r="E387">
        <v>27.3</v>
      </c>
      <c r="F387">
        <v>30.5</v>
      </c>
      <c r="G387">
        <v>24.8</v>
      </c>
      <c r="H387">
        <v>36.299999999999997</v>
      </c>
    </row>
    <row r="388" spans="1:8" x14ac:dyDescent="0.35">
      <c r="A388">
        <v>386</v>
      </c>
      <c r="B388">
        <v>387</v>
      </c>
      <c r="C388" t="s">
        <v>664</v>
      </c>
      <c r="D388" t="s">
        <v>665</v>
      </c>
      <c r="E388">
        <v>41.8</v>
      </c>
      <c r="F388">
        <v>49.9</v>
      </c>
      <c r="G388">
        <v>9.8000000000000007</v>
      </c>
      <c r="H388">
        <v>17.899999999999999</v>
      </c>
    </row>
    <row r="389" spans="1:8" x14ac:dyDescent="0.35">
      <c r="A389">
        <v>387</v>
      </c>
      <c r="B389">
        <f>388</f>
        <v>388</v>
      </c>
      <c r="C389" t="s">
        <v>666</v>
      </c>
      <c r="D389" t="s">
        <v>484</v>
      </c>
      <c r="E389">
        <v>49.9</v>
      </c>
      <c r="F389">
        <v>32.5</v>
      </c>
      <c r="G389">
        <v>22.1</v>
      </c>
      <c r="H389">
        <v>47.5</v>
      </c>
    </row>
    <row r="390" spans="1:8" x14ac:dyDescent="0.35">
      <c r="A390">
        <v>388</v>
      </c>
      <c r="B390">
        <f>388</f>
        <v>388</v>
      </c>
      <c r="C390" t="s">
        <v>667</v>
      </c>
      <c r="D390" t="s">
        <v>668</v>
      </c>
      <c r="E390">
        <v>30.9</v>
      </c>
      <c r="F390">
        <v>30.7</v>
      </c>
      <c r="G390">
        <v>23.5</v>
      </c>
      <c r="H390">
        <v>41.8</v>
      </c>
    </row>
    <row r="391" spans="1:8" x14ac:dyDescent="0.35">
      <c r="A391">
        <v>389</v>
      </c>
      <c r="B391">
        <f>390</f>
        <v>390</v>
      </c>
      <c r="C391" t="s">
        <v>669</v>
      </c>
      <c r="D391" t="s">
        <v>670</v>
      </c>
      <c r="E391">
        <v>91</v>
      </c>
      <c r="F391">
        <v>9.6</v>
      </c>
      <c r="G391">
        <v>10.199999999999999</v>
      </c>
      <c r="H391">
        <v>16.899999999999999</v>
      </c>
    </row>
    <row r="392" spans="1:8" x14ac:dyDescent="0.35">
      <c r="A392">
        <v>390</v>
      </c>
      <c r="B392">
        <f>390</f>
        <v>390</v>
      </c>
      <c r="C392" t="s">
        <v>671</v>
      </c>
      <c r="D392" t="s">
        <v>672</v>
      </c>
      <c r="E392">
        <v>6.5</v>
      </c>
      <c r="F392">
        <v>36.4</v>
      </c>
      <c r="G392">
        <v>63.6</v>
      </c>
      <c r="H392">
        <v>55.7</v>
      </c>
    </row>
    <row r="393" spans="1:8" x14ac:dyDescent="0.35">
      <c r="A393">
        <v>391</v>
      </c>
      <c r="B393">
        <f>390</f>
        <v>390</v>
      </c>
      <c r="C393" t="s">
        <v>673</v>
      </c>
      <c r="D393" t="s">
        <v>639</v>
      </c>
      <c r="E393">
        <v>94.9</v>
      </c>
      <c r="F393">
        <v>17.8</v>
      </c>
      <c r="G393">
        <v>8.3000000000000007</v>
      </c>
      <c r="H393">
        <v>43.1</v>
      </c>
    </row>
    <row r="394" spans="1:8" x14ac:dyDescent="0.35">
      <c r="A394">
        <v>392</v>
      </c>
      <c r="B394">
        <f>390</f>
        <v>390</v>
      </c>
      <c r="C394" t="s">
        <v>674</v>
      </c>
      <c r="D394" t="s">
        <v>675</v>
      </c>
      <c r="E394">
        <v>14.3</v>
      </c>
      <c r="F394">
        <v>35.9</v>
      </c>
      <c r="G394">
        <v>35.5</v>
      </c>
      <c r="H394">
        <v>46.9</v>
      </c>
    </row>
    <row r="395" spans="1:8" x14ac:dyDescent="0.35">
      <c r="A395">
        <v>393</v>
      </c>
      <c r="B395">
        <v>394</v>
      </c>
      <c r="C395" t="s">
        <v>676</v>
      </c>
      <c r="D395" t="s">
        <v>53</v>
      </c>
      <c r="E395">
        <v>82.6</v>
      </c>
      <c r="F395">
        <v>22.9</v>
      </c>
      <c r="G395">
        <v>18.2</v>
      </c>
      <c r="H395">
        <v>25.1</v>
      </c>
    </row>
    <row r="396" spans="1:8" x14ac:dyDescent="0.35">
      <c r="A396">
        <v>394</v>
      </c>
      <c r="B396">
        <f>395</f>
        <v>395</v>
      </c>
      <c r="C396" t="s">
        <v>677</v>
      </c>
      <c r="D396" t="s">
        <v>420</v>
      </c>
      <c r="E396">
        <v>2.8</v>
      </c>
      <c r="F396">
        <v>62.8</v>
      </c>
      <c r="G396">
        <v>29.4</v>
      </c>
      <c r="H396">
        <v>49.9</v>
      </c>
    </row>
    <row r="397" spans="1:8" x14ac:dyDescent="0.35">
      <c r="A397">
        <v>395</v>
      </c>
      <c r="B397">
        <f>395</f>
        <v>395</v>
      </c>
      <c r="C397" t="s">
        <v>678</v>
      </c>
      <c r="D397" t="s">
        <v>679</v>
      </c>
      <c r="E397">
        <v>73.5</v>
      </c>
      <c r="F397">
        <v>32.299999999999997</v>
      </c>
      <c r="G397">
        <v>14.1</v>
      </c>
      <c r="H397">
        <v>19.899999999999999</v>
      </c>
    </row>
    <row r="398" spans="1:8" x14ac:dyDescent="0.35">
      <c r="A398">
        <v>396</v>
      </c>
      <c r="B398">
        <v>397</v>
      </c>
      <c r="C398" t="s">
        <v>680</v>
      </c>
      <c r="D398" t="s">
        <v>681</v>
      </c>
      <c r="E398">
        <v>19</v>
      </c>
      <c r="F398">
        <v>30.6</v>
      </c>
      <c r="G398">
        <v>16.8</v>
      </c>
      <c r="H398">
        <v>45.4</v>
      </c>
    </row>
    <row r="399" spans="1:8" x14ac:dyDescent="0.35">
      <c r="A399">
        <v>397</v>
      </c>
      <c r="B399">
        <v>397</v>
      </c>
      <c r="C399" t="s">
        <v>682</v>
      </c>
      <c r="D399" t="s">
        <v>375</v>
      </c>
      <c r="E399">
        <v>44.2</v>
      </c>
      <c r="F399">
        <v>50.9</v>
      </c>
      <c r="G399">
        <v>5.3</v>
      </c>
      <c r="H399">
        <v>17.8</v>
      </c>
    </row>
    <row r="400" spans="1:8" x14ac:dyDescent="0.35">
      <c r="A400">
        <v>398</v>
      </c>
      <c r="B400">
        <f>398</f>
        <v>398</v>
      </c>
      <c r="C400" t="s">
        <v>683</v>
      </c>
      <c r="D400" t="s">
        <v>684</v>
      </c>
      <c r="E400">
        <v>87.4</v>
      </c>
      <c r="F400">
        <v>9.6</v>
      </c>
      <c r="G400">
        <v>3.7</v>
      </c>
      <c r="H400">
        <v>12.7</v>
      </c>
    </row>
    <row r="401" spans="1:8" x14ac:dyDescent="0.35">
      <c r="A401">
        <v>399</v>
      </c>
      <c r="B401">
        <f>398</f>
        <v>398</v>
      </c>
      <c r="C401" t="s">
        <v>685</v>
      </c>
      <c r="D401" t="s">
        <v>72</v>
      </c>
      <c r="E401">
        <v>91.9</v>
      </c>
      <c r="F401">
        <v>15.4</v>
      </c>
      <c r="G401">
        <v>13.9</v>
      </c>
      <c r="H401">
        <v>18.399999999999999</v>
      </c>
    </row>
    <row r="402" spans="1:8" x14ac:dyDescent="0.35">
      <c r="A402">
        <v>400</v>
      </c>
      <c r="B402">
        <v>398</v>
      </c>
      <c r="C402" t="s">
        <v>686</v>
      </c>
      <c r="D402" t="s">
        <v>687</v>
      </c>
      <c r="E402">
        <v>79.5</v>
      </c>
      <c r="F402">
        <v>21.4</v>
      </c>
      <c r="G402">
        <v>7</v>
      </c>
      <c r="H402">
        <v>13.6</v>
      </c>
    </row>
    <row r="403" spans="1:8" x14ac:dyDescent="0.35">
      <c r="A403">
        <v>401</v>
      </c>
      <c r="B403">
        <f>398</f>
        <v>398</v>
      </c>
      <c r="C403" t="s">
        <v>688</v>
      </c>
      <c r="D403" t="s">
        <v>689</v>
      </c>
      <c r="E403">
        <v>37.4</v>
      </c>
      <c r="F403">
        <v>33.9</v>
      </c>
      <c r="G403">
        <v>52.6</v>
      </c>
      <c r="H403">
        <v>17.899999999999999</v>
      </c>
    </row>
    <row r="404" spans="1:8" x14ac:dyDescent="0.35">
      <c r="A404">
        <v>402</v>
      </c>
      <c r="B404">
        <v>401</v>
      </c>
      <c r="C404" t="s">
        <v>690</v>
      </c>
      <c r="D404" t="s">
        <v>691</v>
      </c>
      <c r="E404">
        <v>47.4</v>
      </c>
      <c r="F404">
        <v>49.5</v>
      </c>
      <c r="G404">
        <v>6.5</v>
      </c>
      <c r="H404">
        <v>38.4</v>
      </c>
    </row>
    <row r="405" spans="1:8" x14ac:dyDescent="0.35">
      <c r="A405">
        <v>403</v>
      </c>
      <c r="B405">
        <f>402</f>
        <v>402</v>
      </c>
      <c r="C405" t="s">
        <v>692</v>
      </c>
      <c r="D405" t="s">
        <v>653</v>
      </c>
      <c r="E405">
        <v>46.9</v>
      </c>
      <c r="F405">
        <v>34.9</v>
      </c>
      <c r="G405">
        <v>2.5</v>
      </c>
      <c r="H405">
        <v>35.299999999999997</v>
      </c>
    </row>
    <row r="406" spans="1:8" x14ac:dyDescent="0.35">
      <c r="A406">
        <v>404</v>
      </c>
      <c r="B406">
        <f>402</f>
        <v>402</v>
      </c>
      <c r="C406" t="s">
        <v>693</v>
      </c>
      <c r="D406" t="s">
        <v>694</v>
      </c>
      <c r="E406">
        <v>62.5</v>
      </c>
      <c r="F406">
        <v>29.7</v>
      </c>
      <c r="G406">
        <v>3.8</v>
      </c>
      <c r="H406">
        <v>13.7</v>
      </c>
    </row>
    <row r="407" spans="1:8" x14ac:dyDescent="0.35">
      <c r="A407">
        <v>405</v>
      </c>
      <c r="B407">
        <f>402</f>
        <v>402</v>
      </c>
      <c r="C407" t="s">
        <v>695</v>
      </c>
      <c r="D407" t="s">
        <v>696</v>
      </c>
      <c r="E407">
        <v>3.1</v>
      </c>
      <c r="F407">
        <v>45.3</v>
      </c>
      <c r="G407">
        <v>39.200000000000003</v>
      </c>
      <c r="H407">
        <v>67.099999999999994</v>
      </c>
    </row>
    <row r="408" spans="1:8" x14ac:dyDescent="0.35">
      <c r="A408">
        <v>406</v>
      </c>
      <c r="B408">
        <f>406</f>
        <v>406</v>
      </c>
      <c r="C408" t="s">
        <v>697</v>
      </c>
      <c r="D408" t="s">
        <v>698</v>
      </c>
      <c r="E408">
        <v>3.2</v>
      </c>
      <c r="F408">
        <v>18.8</v>
      </c>
      <c r="G408">
        <v>97</v>
      </c>
      <c r="H408">
        <v>48.6</v>
      </c>
    </row>
    <row r="409" spans="1:8" x14ac:dyDescent="0.35">
      <c r="A409">
        <v>407</v>
      </c>
      <c r="B409">
        <f>406</f>
        <v>406</v>
      </c>
      <c r="C409" t="s">
        <v>699</v>
      </c>
      <c r="D409" t="s">
        <v>26</v>
      </c>
      <c r="E409">
        <v>5</v>
      </c>
      <c r="F409" t="s">
        <v>303</v>
      </c>
      <c r="G409" t="s">
        <v>304</v>
      </c>
      <c r="H409">
        <v>51.4</v>
      </c>
    </row>
    <row r="410" spans="1:8" x14ac:dyDescent="0.35">
      <c r="A410">
        <v>408</v>
      </c>
      <c r="B410">
        <v>12.2</v>
      </c>
      <c r="C410">
        <v>67.3</v>
      </c>
      <c r="D410">
        <v>12.9</v>
      </c>
      <c r="E410">
        <v>408</v>
      </c>
      <c r="F410" t="s">
        <v>700</v>
      </c>
      <c r="G410" t="s">
        <v>138</v>
      </c>
      <c r="H410">
        <v>21.3</v>
      </c>
    </row>
    <row r="411" spans="1:8" x14ac:dyDescent="0.35">
      <c r="A411">
        <v>409</v>
      </c>
      <c r="B411">
        <v>29</v>
      </c>
      <c r="C411">
        <v>22.1</v>
      </c>
      <c r="D411">
        <v>37.9</v>
      </c>
      <c r="E411">
        <v>17.2</v>
      </c>
      <c r="F411">
        <v>23.1</v>
      </c>
      <c r="G411">
        <v>98.5</v>
      </c>
      <c r="H411">
        <v>22.5</v>
      </c>
    </row>
    <row r="412" spans="1:8" x14ac:dyDescent="0.35">
      <c r="A412">
        <v>410</v>
      </c>
      <c r="B412">
        <f>409</f>
        <v>409</v>
      </c>
      <c r="C412" t="s">
        <v>701</v>
      </c>
      <c r="D412" t="s">
        <v>702</v>
      </c>
      <c r="E412">
        <v>44.9</v>
      </c>
      <c r="F412">
        <v>47</v>
      </c>
      <c r="G412">
        <v>6.5</v>
      </c>
      <c r="H412">
        <v>19.5</v>
      </c>
    </row>
    <row r="413" spans="1:8" x14ac:dyDescent="0.35">
      <c r="A413">
        <v>411</v>
      </c>
      <c r="B413">
        <f>411</f>
        <v>411</v>
      </c>
      <c r="C413" t="s">
        <v>703</v>
      </c>
      <c r="D413" t="s">
        <v>14</v>
      </c>
      <c r="E413">
        <v>11.5</v>
      </c>
      <c r="F413">
        <v>34.5</v>
      </c>
      <c r="G413">
        <v>10.5</v>
      </c>
      <c r="H413">
        <v>52.1</v>
      </c>
    </row>
    <row r="414" spans="1:8" x14ac:dyDescent="0.35">
      <c r="A414">
        <v>412</v>
      </c>
      <c r="B414">
        <f>411</f>
        <v>411</v>
      </c>
      <c r="C414" t="s">
        <v>704</v>
      </c>
      <c r="D414" t="s">
        <v>24</v>
      </c>
      <c r="E414">
        <v>35.799999999999997</v>
      </c>
      <c r="F414">
        <v>23.5</v>
      </c>
      <c r="G414">
        <v>13.1</v>
      </c>
      <c r="H414">
        <v>41.1</v>
      </c>
    </row>
    <row r="415" spans="1:8" x14ac:dyDescent="0.35">
      <c r="A415">
        <v>413</v>
      </c>
      <c r="B415">
        <f>411</f>
        <v>411</v>
      </c>
      <c r="C415" t="s">
        <v>705</v>
      </c>
      <c r="D415" t="s">
        <v>706</v>
      </c>
      <c r="E415">
        <v>67.2</v>
      </c>
      <c r="F415">
        <v>14.5</v>
      </c>
      <c r="G415">
        <v>19.100000000000001</v>
      </c>
      <c r="H415">
        <v>8.4</v>
      </c>
    </row>
    <row r="416" spans="1:8" x14ac:dyDescent="0.35">
      <c r="A416">
        <v>414</v>
      </c>
      <c r="B416">
        <f>411</f>
        <v>411</v>
      </c>
      <c r="C416" t="s">
        <v>707</v>
      </c>
      <c r="D416" t="s">
        <v>708</v>
      </c>
      <c r="E416">
        <v>5</v>
      </c>
      <c r="F416" t="s">
        <v>303</v>
      </c>
      <c r="G416" t="s">
        <v>304</v>
      </c>
      <c r="H416">
        <v>93.9</v>
      </c>
    </row>
    <row r="417" spans="1:8" x14ac:dyDescent="0.35">
      <c r="A417">
        <v>415</v>
      </c>
      <c r="B417">
        <v>10.5</v>
      </c>
      <c r="C417">
        <v>7.8</v>
      </c>
      <c r="D417">
        <v>7.3</v>
      </c>
      <c r="E417">
        <v>415</v>
      </c>
      <c r="F417" t="s">
        <v>709</v>
      </c>
      <c r="G417" t="s">
        <v>710</v>
      </c>
      <c r="H417">
        <v>59.1</v>
      </c>
    </row>
    <row r="418" spans="1:8" x14ac:dyDescent="0.35">
      <c r="A418">
        <v>416</v>
      </c>
      <c r="B418">
        <v>19.600000000000001</v>
      </c>
      <c r="C418">
        <v>12.5</v>
      </c>
      <c r="D418">
        <v>14.7</v>
      </c>
      <c r="E418">
        <v>54.3</v>
      </c>
      <c r="F418">
        <v>17.2</v>
      </c>
      <c r="G418">
        <v>10.5</v>
      </c>
      <c r="H418">
        <v>25.9</v>
      </c>
    </row>
    <row r="419" spans="1:8" x14ac:dyDescent="0.35">
      <c r="A419">
        <v>417</v>
      </c>
      <c r="B419">
        <f>416</f>
        <v>416</v>
      </c>
      <c r="C419" t="s">
        <v>711</v>
      </c>
      <c r="D419" t="s">
        <v>563</v>
      </c>
      <c r="E419">
        <v>97.6</v>
      </c>
      <c r="F419">
        <v>14.4</v>
      </c>
      <c r="G419">
        <v>30.5</v>
      </c>
      <c r="H419">
        <v>15.6</v>
      </c>
    </row>
    <row r="420" spans="1:8" x14ac:dyDescent="0.35">
      <c r="A420">
        <v>418</v>
      </c>
      <c r="B420">
        <f>416</f>
        <v>416</v>
      </c>
      <c r="C420" t="s">
        <v>712</v>
      </c>
      <c r="D420" t="s">
        <v>713</v>
      </c>
      <c r="E420">
        <v>45.5</v>
      </c>
      <c r="F420">
        <v>26.9</v>
      </c>
      <c r="G420">
        <v>10.1</v>
      </c>
      <c r="H420">
        <v>26.1</v>
      </c>
    </row>
    <row r="421" spans="1:8" x14ac:dyDescent="0.35">
      <c r="A421">
        <v>419</v>
      </c>
      <c r="B421">
        <f>419</f>
        <v>419</v>
      </c>
      <c r="C421" t="s">
        <v>714</v>
      </c>
      <c r="D421" t="s">
        <v>715</v>
      </c>
      <c r="E421">
        <v>2.8</v>
      </c>
      <c r="F421">
        <v>31.5</v>
      </c>
      <c r="G421">
        <v>86.5</v>
      </c>
      <c r="H421">
        <v>52.4</v>
      </c>
    </row>
    <row r="422" spans="1:8" x14ac:dyDescent="0.35">
      <c r="A422">
        <v>420</v>
      </c>
      <c r="B422">
        <f>419</f>
        <v>419</v>
      </c>
      <c r="C422" t="s">
        <v>716</v>
      </c>
      <c r="D422" t="s">
        <v>717</v>
      </c>
      <c r="E422">
        <v>5</v>
      </c>
      <c r="F422" t="s">
        <v>303</v>
      </c>
      <c r="G422">
        <v>51.2</v>
      </c>
      <c r="H422">
        <v>13.7</v>
      </c>
    </row>
    <row r="423" spans="1:8" x14ac:dyDescent="0.35">
      <c r="A423">
        <v>421</v>
      </c>
      <c r="B423">
        <v>27.6</v>
      </c>
      <c r="C423">
        <v>12.9</v>
      </c>
      <c r="D423">
        <v>421</v>
      </c>
      <c r="E423">
        <v>68.099999999999994</v>
      </c>
      <c r="F423">
        <v>17.8</v>
      </c>
      <c r="G423">
        <v>31.3</v>
      </c>
      <c r="H423">
        <v>27.1</v>
      </c>
    </row>
    <row r="424" spans="1:8" x14ac:dyDescent="0.35">
      <c r="A424">
        <v>422</v>
      </c>
      <c r="B424">
        <v>422</v>
      </c>
      <c r="C424" t="s">
        <v>718</v>
      </c>
      <c r="D424" t="s">
        <v>719</v>
      </c>
      <c r="E424">
        <v>77.099999999999994</v>
      </c>
      <c r="F424">
        <v>11.5</v>
      </c>
      <c r="G424">
        <v>6.4</v>
      </c>
      <c r="H424">
        <v>8.6</v>
      </c>
    </row>
    <row r="425" spans="1:8" x14ac:dyDescent="0.35">
      <c r="A425">
        <v>423</v>
      </c>
      <c r="B425">
        <f>423</f>
        <v>423</v>
      </c>
      <c r="C425" t="s">
        <v>720</v>
      </c>
      <c r="D425" t="s">
        <v>214</v>
      </c>
      <c r="E425">
        <v>2.5</v>
      </c>
      <c r="F425">
        <v>24</v>
      </c>
      <c r="G425">
        <v>94.1</v>
      </c>
      <c r="H425">
        <v>65.5</v>
      </c>
    </row>
    <row r="426" spans="1:8" x14ac:dyDescent="0.35">
      <c r="A426">
        <v>424</v>
      </c>
      <c r="B426">
        <f>423</f>
        <v>423</v>
      </c>
      <c r="C426" t="s">
        <v>721</v>
      </c>
      <c r="D426" t="s">
        <v>657</v>
      </c>
      <c r="E426">
        <v>9.3000000000000007</v>
      </c>
      <c r="F426">
        <v>46.2</v>
      </c>
      <c r="G426">
        <v>70.900000000000006</v>
      </c>
      <c r="H426">
        <v>30.1</v>
      </c>
    </row>
    <row r="427" spans="1:8" x14ac:dyDescent="0.35">
      <c r="A427">
        <v>425</v>
      </c>
      <c r="B427">
        <f>425</f>
        <v>425</v>
      </c>
      <c r="C427" t="s">
        <v>722</v>
      </c>
      <c r="D427" t="s">
        <v>528</v>
      </c>
      <c r="E427">
        <v>88.3</v>
      </c>
      <c r="F427">
        <v>11.2</v>
      </c>
      <c r="G427">
        <v>49.9</v>
      </c>
      <c r="H427">
        <v>16.8</v>
      </c>
    </row>
    <row r="428" spans="1:8" x14ac:dyDescent="0.35">
      <c r="A428">
        <v>426</v>
      </c>
      <c r="B428">
        <f>425</f>
        <v>425</v>
      </c>
      <c r="C428" t="s">
        <v>723</v>
      </c>
      <c r="D428" t="s">
        <v>724</v>
      </c>
      <c r="E428">
        <v>33.700000000000003</v>
      </c>
      <c r="F428">
        <v>24.9</v>
      </c>
      <c r="G428">
        <v>53.4</v>
      </c>
      <c r="H428">
        <v>20.7</v>
      </c>
    </row>
    <row r="429" spans="1:8" x14ac:dyDescent="0.35">
      <c r="A429">
        <v>427</v>
      </c>
      <c r="B429">
        <f>425</f>
        <v>425</v>
      </c>
      <c r="C429" t="s">
        <v>725</v>
      </c>
      <c r="D429" t="s">
        <v>726</v>
      </c>
      <c r="E429">
        <v>36.299999999999997</v>
      </c>
      <c r="F429">
        <v>22.4</v>
      </c>
      <c r="G429">
        <v>4.4000000000000004</v>
      </c>
      <c r="H429">
        <v>71</v>
      </c>
    </row>
    <row r="430" spans="1:8" x14ac:dyDescent="0.35">
      <c r="A430">
        <v>428</v>
      </c>
      <c r="B430">
        <f>425</f>
        <v>425</v>
      </c>
      <c r="C430" t="s">
        <v>727</v>
      </c>
      <c r="D430" t="s">
        <v>728</v>
      </c>
      <c r="E430">
        <v>93.6</v>
      </c>
      <c r="F430">
        <v>20.2</v>
      </c>
      <c r="G430">
        <v>11.3</v>
      </c>
      <c r="H430">
        <v>12.5</v>
      </c>
    </row>
    <row r="431" spans="1:8" x14ac:dyDescent="0.35">
      <c r="A431">
        <v>429</v>
      </c>
      <c r="B431">
        <v>429</v>
      </c>
      <c r="C431" t="s">
        <v>729</v>
      </c>
      <c r="D431" t="s">
        <v>730</v>
      </c>
      <c r="E431">
        <v>47.5</v>
      </c>
      <c r="F431">
        <v>20.8</v>
      </c>
      <c r="G431">
        <v>17.399999999999999</v>
      </c>
      <c r="H431">
        <v>26.8</v>
      </c>
    </row>
    <row r="432" spans="1:8" x14ac:dyDescent="0.35">
      <c r="A432">
        <v>430</v>
      </c>
      <c r="B432">
        <v>430</v>
      </c>
      <c r="C432" t="s">
        <v>731</v>
      </c>
      <c r="D432" t="s">
        <v>732</v>
      </c>
      <c r="E432">
        <v>83.3</v>
      </c>
      <c r="F432">
        <v>20.6</v>
      </c>
      <c r="G432">
        <v>8.4</v>
      </c>
      <c r="H432">
        <v>9.6</v>
      </c>
    </row>
    <row r="433" spans="1:8" x14ac:dyDescent="0.35">
      <c r="A433">
        <v>431</v>
      </c>
      <c r="B433">
        <v>431</v>
      </c>
      <c r="C433" t="s">
        <v>733</v>
      </c>
      <c r="D433" t="s">
        <v>123</v>
      </c>
      <c r="E433">
        <v>5</v>
      </c>
      <c r="F433" t="s">
        <v>303</v>
      </c>
      <c r="G433" t="s">
        <v>304</v>
      </c>
      <c r="H433">
        <v>23.1</v>
      </c>
    </row>
    <row r="434" spans="1:8" x14ac:dyDescent="0.35">
      <c r="A434">
        <v>432</v>
      </c>
      <c r="B434">
        <v>32.5</v>
      </c>
      <c r="C434">
        <v>11</v>
      </c>
      <c r="D434">
        <v>23.2</v>
      </c>
      <c r="E434">
        <v>15.9</v>
      </c>
      <c r="F434">
        <v>27.7</v>
      </c>
      <c r="G434">
        <v>81.8</v>
      </c>
      <c r="H434">
        <v>40.700000000000003</v>
      </c>
    </row>
    <row r="435" spans="1:8" x14ac:dyDescent="0.35">
      <c r="A435">
        <v>433</v>
      </c>
      <c r="B435">
        <f>432</f>
        <v>432</v>
      </c>
      <c r="C435" t="s">
        <v>734</v>
      </c>
      <c r="D435" t="s">
        <v>487</v>
      </c>
      <c r="E435">
        <v>6.5</v>
      </c>
      <c r="F435">
        <v>26.5</v>
      </c>
      <c r="G435">
        <v>82.3</v>
      </c>
      <c r="H435">
        <v>48.3</v>
      </c>
    </row>
    <row r="436" spans="1:8" x14ac:dyDescent="0.35">
      <c r="A436">
        <v>434</v>
      </c>
      <c r="B436">
        <f>434</f>
        <v>434</v>
      </c>
      <c r="C436" t="s">
        <v>735</v>
      </c>
      <c r="D436" t="s">
        <v>383</v>
      </c>
      <c r="E436">
        <v>23.9</v>
      </c>
      <c r="F436">
        <v>38.1</v>
      </c>
      <c r="G436">
        <v>35</v>
      </c>
      <c r="H436">
        <v>32.200000000000003</v>
      </c>
    </row>
    <row r="437" spans="1:8" x14ac:dyDescent="0.35">
      <c r="A437">
        <v>435</v>
      </c>
      <c r="B437">
        <f>434</f>
        <v>434</v>
      </c>
      <c r="C437" t="s">
        <v>736</v>
      </c>
      <c r="D437" t="s">
        <v>737</v>
      </c>
      <c r="E437">
        <v>29.3</v>
      </c>
      <c r="F437">
        <v>38.9</v>
      </c>
      <c r="G437">
        <v>26.7</v>
      </c>
      <c r="H437">
        <v>29.3</v>
      </c>
    </row>
    <row r="438" spans="1:8" x14ac:dyDescent="0.35">
      <c r="A438">
        <v>436</v>
      </c>
      <c r="B438">
        <f>436</f>
        <v>436</v>
      </c>
      <c r="C438" t="s">
        <v>738</v>
      </c>
      <c r="D438" t="s">
        <v>739</v>
      </c>
      <c r="E438">
        <v>5</v>
      </c>
      <c r="F438" t="s">
        <v>303</v>
      </c>
      <c r="G438" t="s">
        <v>304</v>
      </c>
      <c r="H438">
        <v>47.2</v>
      </c>
    </row>
    <row r="439" spans="1:8" x14ac:dyDescent="0.35">
      <c r="A439">
        <v>437</v>
      </c>
      <c r="B439">
        <v>15.2</v>
      </c>
      <c r="C439">
        <v>45.7</v>
      </c>
      <c r="D439">
        <v>10.5</v>
      </c>
      <c r="E439">
        <v>45.6</v>
      </c>
      <c r="F439">
        <v>29.3</v>
      </c>
      <c r="G439">
        <v>19.7</v>
      </c>
      <c r="H439">
        <v>23.1</v>
      </c>
    </row>
    <row r="440" spans="1:8" x14ac:dyDescent="0.35">
      <c r="A440">
        <v>438</v>
      </c>
      <c r="B440">
        <f>438</f>
        <v>438</v>
      </c>
      <c r="C440" t="s">
        <v>740</v>
      </c>
      <c r="D440" t="s">
        <v>741</v>
      </c>
      <c r="E440">
        <v>34.799999999999997</v>
      </c>
      <c r="F440">
        <v>23.2</v>
      </c>
      <c r="G440">
        <v>18.3</v>
      </c>
      <c r="H440">
        <v>13.6</v>
      </c>
    </row>
    <row r="441" spans="1:8" x14ac:dyDescent="0.35">
      <c r="A441">
        <v>439</v>
      </c>
      <c r="B441">
        <f>438</f>
        <v>438</v>
      </c>
      <c r="C441" t="s">
        <v>742</v>
      </c>
      <c r="D441" t="s">
        <v>743</v>
      </c>
      <c r="E441">
        <v>5</v>
      </c>
      <c r="F441" t="s">
        <v>303</v>
      </c>
      <c r="G441">
        <v>56.4</v>
      </c>
      <c r="H441">
        <v>20.6</v>
      </c>
    </row>
    <row r="442" spans="1:8" x14ac:dyDescent="0.35">
      <c r="A442">
        <v>440</v>
      </c>
      <c r="B442">
        <v>29.5</v>
      </c>
      <c r="C442">
        <v>13.1</v>
      </c>
      <c r="D442">
        <f>438</f>
        <v>438</v>
      </c>
      <c r="E442">
        <v>38.6</v>
      </c>
      <c r="F442">
        <v>34.799999999999997</v>
      </c>
      <c r="G442">
        <v>33.299999999999997</v>
      </c>
      <c r="H442">
        <v>31.4</v>
      </c>
    </row>
    <row r="443" spans="1:8" x14ac:dyDescent="0.35">
      <c r="A443">
        <v>441</v>
      </c>
      <c r="B443">
        <f>438</f>
        <v>438</v>
      </c>
      <c r="C443" t="s">
        <v>744</v>
      </c>
      <c r="D443" t="s">
        <v>745</v>
      </c>
      <c r="E443">
        <v>27.6</v>
      </c>
      <c r="F443">
        <v>26.2</v>
      </c>
      <c r="G443">
        <v>73.3</v>
      </c>
      <c r="H443">
        <v>17.3</v>
      </c>
    </row>
    <row r="444" spans="1:8" x14ac:dyDescent="0.35">
      <c r="A444">
        <v>442</v>
      </c>
      <c r="B444">
        <f>438</f>
        <v>438</v>
      </c>
      <c r="C444" t="s">
        <v>746</v>
      </c>
      <c r="D444" t="s">
        <v>747</v>
      </c>
      <c r="E444">
        <v>40</v>
      </c>
      <c r="F444">
        <v>36</v>
      </c>
      <c r="G444">
        <v>34.9</v>
      </c>
      <c r="H444">
        <v>21.5</v>
      </c>
    </row>
    <row r="445" spans="1:8" x14ac:dyDescent="0.35">
      <c r="A445">
        <v>443</v>
      </c>
      <c r="B445">
        <f>443</f>
        <v>443</v>
      </c>
      <c r="C445" t="s">
        <v>748</v>
      </c>
      <c r="D445" t="s">
        <v>749</v>
      </c>
      <c r="E445">
        <v>30.9</v>
      </c>
      <c r="F445">
        <v>51.8</v>
      </c>
      <c r="G445">
        <v>8.3000000000000007</v>
      </c>
      <c r="H445">
        <v>12.5</v>
      </c>
    </row>
    <row r="446" spans="1:8" x14ac:dyDescent="0.35">
      <c r="A446">
        <v>444</v>
      </c>
      <c r="B446">
        <f>443</f>
        <v>443</v>
      </c>
      <c r="C446" t="s">
        <v>750</v>
      </c>
      <c r="D446" t="s">
        <v>53</v>
      </c>
      <c r="E446">
        <v>48.7</v>
      </c>
      <c r="F446">
        <v>32.700000000000003</v>
      </c>
      <c r="G446">
        <v>44.5</v>
      </c>
      <c r="H446">
        <v>26.3</v>
      </c>
    </row>
    <row r="447" spans="1:8" x14ac:dyDescent="0.35">
      <c r="A447">
        <v>445</v>
      </c>
      <c r="B447">
        <f>443</f>
        <v>443</v>
      </c>
      <c r="C447" t="s">
        <v>751</v>
      </c>
      <c r="D447" t="s">
        <v>29</v>
      </c>
      <c r="E447">
        <v>99.6</v>
      </c>
      <c r="F447">
        <v>16.899999999999999</v>
      </c>
      <c r="G447">
        <v>14.9</v>
      </c>
      <c r="H447">
        <v>22.9</v>
      </c>
    </row>
    <row r="448" spans="1:8" x14ac:dyDescent="0.35">
      <c r="A448">
        <v>446</v>
      </c>
      <c r="B448">
        <v>446</v>
      </c>
      <c r="C448" t="s">
        <v>752</v>
      </c>
      <c r="D448" t="s">
        <v>753</v>
      </c>
      <c r="E448">
        <v>3.5</v>
      </c>
      <c r="F448">
        <v>14.9</v>
      </c>
      <c r="G448">
        <v>49.5</v>
      </c>
      <c r="H448">
        <v>58.7</v>
      </c>
    </row>
    <row r="449" spans="1:8" x14ac:dyDescent="0.35">
      <c r="A449">
        <v>447</v>
      </c>
      <c r="B449">
        <f>447</f>
        <v>447</v>
      </c>
      <c r="C449" t="s">
        <v>754</v>
      </c>
      <c r="D449" t="s">
        <v>755</v>
      </c>
      <c r="E449">
        <v>15.4</v>
      </c>
      <c r="F449">
        <v>22.7</v>
      </c>
      <c r="G449">
        <v>48.9</v>
      </c>
      <c r="H449">
        <v>23.8</v>
      </c>
    </row>
    <row r="450" spans="1:8" x14ac:dyDescent="0.35">
      <c r="A450">
        <v>448</v>
      </c>
      <c r="B450">
        <f>447</f>
        <v>447</v>
      </c>
      <c r="C450" t="s">
        <v>756</v>
      </c>
      <c r="D450" t="s">
        <v>757</v>
      </c>
      <c r="E450">
        <v>17.2</v>
      </c>
      <c r="F450">
        <v>55.8</v>
      </c>
      <c r="G450">
        <v>12.8</v>
      </c>
      <c r="H450">
        <v>22.3</v>
      </c>
    </row>
    <row r="451" spans="1:8" x14ac:dyDescent="0.35">
      <c r="A451">
        <v>449</v>
      </c>
      <c r="B451">
        <f>449</f>
        <v>449</v>
      </c>
      <c r="C451" t="s">
        <v>758</v>
      </c>
      <c r="D451" t="s">
        <v>759</v>
      </c>
      <c r="E451">
        <v>13.6</v>
      </c>
      <c r="F451">
        <v>30.2</v>
      </c>
      <c r="G451">
        <v>21.7</v>
      </c>
      <c r="H451">
        <v>46</v>
      </c>
    </row>
    <row r="452" spans="1:8" x14ac:dyDescent="0.35">
      <c r="A452">
        <v>450</v>
      </c>
      <c r="B452">
        <f>449</f>
        <v>449</v>
      </c>
      <c r="C452" t="s">
        <v>760</v>
      </c>
      <c r="D452" t="s">
        <v>761</v>
      </c>
      <c r="E452">
        <v>34.200000000000003</v>
      </c>
      <c r="F452">
        <v>29.1</v>
      </c>
      <c r="G452">
        <v>62</v>
      </c>
      <c r="H452">
        <v>22.1</v>
      </c>
    </row>
    <row r="453" spans="1:8" x14ac:dyDescent="0.35">
      <c r="A453">
        <v>451</v>
      </c>
      <c r="B453">
        <f>449</f>
        <v>449</v>
      </c>
      <c r="C453" t="s">
        <v>762</v>
      </c>
      <c r="D453" t="s">
        <v>737</v>
      </c>
      <c r="E453">
        <v>26.4</v>
      </c>
      <c r="F453">
        <v>51.6</v>
      </c>
      <c r="G453">
        <v>16.899999999999999</v>
      </c>
      <c r="H453">
        <v>14.8</v>
      </c>
    </row>
    <row r="454" spans="1:8" x14ac:dyDescent="0.35">
      <c r="A454">
        <v>452</v>
      </c>
      <c r="B454">
        <f>452</f>
        <v>452</v>
      </c>
      <c r="C454" t="s">
        <v>763</v>
      </c>
      <c r="D454" t="s">
        <v>764</v>
      </c>
      <c r="E454">
        <v>100</v>
      </c>
      <c r="F454">
        <v>14.6</v>
      </c>
      <c r="G454">
        <v>7.3</v>
      </c>
      <c r="H454">
        <v>17</v>
      </c>
    </row>
    <row r="455" spans="1:8" x14ac:dyDescent="0.35">
      <c r="A455">
        <v>453</v>
      </c>
      <c r="B455">
        <f>452</f>
        <v>452</v>
      </c>
      <c r="C455" t="s">
        <v>765</v>
      </c>
      <c r="D455" t="s">
        <v>766</v>
      </c>
      <c r="E455">
        <v>94.7</v>
      </c>
      <c r="F455">
        <v>12.9</v>
      </c>
      <c r="G455">
        <v>9.1</v>
      </c>
      <c r="H455">
        <v>23.9</v>
      </c>
    </row>
    <row r="456" spans="1:8" x14ac:dyDescent="0.35">
      <c r="A456">
        <v>454</v>
      </c>
      <c r="B456">
        <f>454</f>
        <v>454</v>
      </c>
      <c r="C456" t="s">
        <v>767</v>
      </c>
      <c r="D456" t="s">
        <v>542</v>
      </c>
      <c r="E456">
        <v>20.8</v>
      </c>
      <c r="F456">
        <v>32</v>
      </c>
      <c r="G456">
        <v>10.8</v>
      </c>
      <c r="H456">
        <v>73.3</v>
      </c>
    </row>
    <row r="457" spans="1:8" x14ac:dyDescent="0.35">
      <c r="A457">
        <v>455</v>
      </c>
      <c r="B457">
        <f>454</f>
        <v>454</v>
      </c>
      <c r="C457" t="s">
        <v>768</v>
      </c>
      <c r="D457" t="s">
        <v>769</v>
      </c>
      <c r="E457">
        <v>16.399999999999999</v>
      </c>
      <c r="F457">
        <v>34.1</v>
      </c>
      <c r="G457">
        <v>11.3</v>
      </c>
      <c r="H457">
        <v>31</v>
      </c>
    </row>
    <row r="458" spans="1:8" x14ac:dyDescent="0.35">
      <c r="A458">
        <v>456</v>
      </c>
      <c r="B458">
        <f>456</f>
        <v>456</v>
      </c>
      <c r="C458" t="s">
        <v>770</v>
      </c>
      <c r="D458" t="s">
        <v>771</v>
      </c>
      <c r="E458">
        <v>21</v>
      </c>
      <c r="F458">
        <v>49.7</v>
      </c>
      <c r="G458">
        <v>7.3</v>
      </c>
      <c r="H458">
        <v>17.7</v>
      </c>
    </row>
    <row r="459" spans="1:8" x14ac:dyDescent="0.35">
      <c r="A459">
        <v>457</v>
      </c>
      <c r="B459">
        <f>456</f>
        <v>456</v>
      </c>
      <c r="C459" t="s">
        <v>772</v>
      </c>
      <c r="D459" t="s">
        <v>773</v>
      </c>
      <c r="E459">
        <v>45.6</v>
      </c>
      <c r="F459">
        <v>10.6</v>
      </c>
      <c r="G459">
        <v>60.4</v>
      </c>
      <c r="H459">
        <v>10.8</v>
      </c>
    </row>
    <row r="460" spans="1:8" x14ac:dyDescent="0.35">
      <c r="A460">
        <v>458</v>
      </c>
      <c r="B460">
        <f>458</f>
        <v>458</v>
      </c>
      <c r="C460" t="s">
        <v>774</v>
      </c>
      <c r="D460" t="s">
        <v>775</v>
      </c>
      <c r="E460">
        <v>21.7</v>
      </c>
      <c r="F460">
        <v>18.3</v>
      </c>
      <c r="G460">
        <v>72.5</v>
      </c>
      <c r="H460">
        <v>19.399999999999999</v>
      </c>
    </row>
    <row r="461" spans="1:8" x14ac:dyDescent="0.35">
      <c r="A461">
        <v>459</v>
      </c>
      <c r="B461">
        <f>458</f>
        <v>458</v>
      </c>
      <c r="C461" t="s">
        <v>776</v>
      </c>
      <c r="D461" t="s">
        <v>10</v>
      </c>
      <c r="E461">
        <v>25.7</v>
      </c>
      <c r="F461">
        <v>24.9</v>
      </c>
      <c r="G461">
        <v>19.3</v>
      </c>
      <c r="H461">
        <v>21.9</v>
      </c>
    </row>
    <row r="462" spans="1:8" x14ac:dyDescent="0.35">
      <c r="A462">
        <v>460</v>
      </c>
      <c r="B462">
        <f>458</f>
        <v>458</v>
      </c>
      <c r="C462" t="s">
        <v>777</v>
      </c>
      <c r="D462" t="s">
        <v>778</v>
      </c>
      <c r="E462">
        <v>4</v>
      </c>
      <c r="F462" t="s">
        <v>303</v>
      </c>
      <c r="G462">
        <v>4.4000000000000004</v>
      </c>
      <c r="H462">
        <v>29.6</v>
      </c>
    </row>
    <row r="463" spans="1:8" x14ac:dyDescent="0.35">
      <c r="A463">
        <v>461</v>
      </c>
      <c r="B463">
        <v>90</v>
      </c>
      <c r="C463">
        <v>34.1</v>
      </c>
      <c r="D463">
        <f>458</f>
        <v>458</v>
      </c>
      <c r="E463">
        <v>59</v>
      </c>
      <c r="F463">
        <v>24.6</v>
      </c>
      <c r="G463">
        <v>8.4</v>
      </c>
      <c r="H463">
        <v>20.100000000000001</v>
      </c>
    </row>
    <row r="464" spans="1:8" x14ac:dyDescent="0.35">
      <c r="A464">
        <v>462</v>
      </c>
      <c r="B464">
        <f>458</f>
        <v>458</v>
      </c>
      <c r="C464" t="s">
        <v>779</v>
      </c>
      <c r="D464" t="s">
        <v>780</v>
      </c>
      <c r="E464">
        <v>31.4</v>
      </c>
      <c r="F464">
        <v>23.5</v>
      </c>
      <c r="G464">
        <v>29.8</v>
      </c>
      <c r="H464">
        <v>23.1</v>
      </c>
    </row>
    <row r="465" spans="1:8" x14ac:dyDescent="0.35">
      <c r="A465">
        <v>463</v>
      </c>
      <c r="B465">
        <f>463</f>
        <v>463</v>
      </c>
      <c r="C465" t="s">
        <v>781</v>
      </c>
      <c r="D465" t="s">
        <v>782</v>
      </c>
      <c r="E465">
        <v>97</v>
      </c>
      <c r="F465">
        <v>12.8</v>
      </c>
      <c r="G465">
        <v>18.399999999999999</v>
      </c>
      <c r="H465">
        <v>17.600000000000001</v>
      </c>
    </row>
    <row r="466" spans="1:8" x14ac:dyDescent="0.35">
      <c r="A466">
        <v>464</v>
      </c>
      <c r="B466">
        <f>463</f>
        <v>463</v>
      </c>
      <c r="C466" t="s">
        <v>783</v>
      </c>
      <c r="D466" t="s">
        <v>784</v>
      </c>
      <c r="E466">
        <v>2.1</v>
      </c>
      <c r="F466">
        <v>47.1</v>
      </c>
      <c r="G466">
        <v>54.1</v>
      </c>
      <c r="H466">
        <v>35</v>
      </c>
    </row>
    <row r="467" spans="1:8" x14ac:dyDescent="0.35">
      <c r="A467">
        <v>465</v>
      </c>
      <c r="B467">
        <f>465</f>
        <v>465</v>
      </c>
      <c r="C467" t="s">
        <v>785</v>
      </c>
      <c r="D467" t="s">
        <v>786</v>
      </c>
      <c r="E467">
        <v>97.5</v>
      </c>
      <c r="F467">
        <v>12.9</v>
      </c>
      <c r="G467">
        <v>15</v>
      </c>
      <c r="H467">
        <v>16.600000000000001</v>
      </c>
    </row>
    <row r="468" spans="1:8" x14ac:dyDescent="0.35">
      <c r="A468">
        <v>466</v>
      </c>
      <c r="B468">
        <f>465</f>
        <v>465</v>
      </c>
      <c r="C468" t="s">
        <v>787</v>
      </c>
      <c r="D468" t="s">
        <v>484</v>
      </c>
      <c r="E468">
        <v>100</v>
      </c>
      <c r="F468">
        <v>6</v>
      </c>
      <c r="G468">
        <v>77.099999999999994</v>
      </c>
      <c r="H468">
        <v>6.4</v>
      </c>
    </row>
    <row r="469" spans="1:8" x14ac:dyDescent="0.35">
      <c r="A469">
        <v>467</v>
      </c>
      <c r="B469">
        <f>465</f>
        <v>465</v>
      </c>
      <c r="C469" t="s">
        <v>788</v>
      </c>
      <c r="D469" t="s">
        <v>789</v>
      </c>
      <c r="E469">
        <v>5.9</v>
      </c>
      <c r="F469">
        <v>25.6</v>
      </c>
      <c r="G469">
        <v>64.099999999999994</v>
      </c>
      <c r="H469">
        <v>34.5</v>
      </c>
    </row>
    <row r="470" spans="1:8" x14ac:dyDescent="0.35">
      <c r="A470">
        <v>468</v>
      </c>
      <c r="B470">
        <f>468</f>
        <v>468</v>
      </c>
      <c r="C470" t="s">
        <v>790</v>
      </c>
      <c r="D470" t="s">
        <v>791</v>
      </c>
      <c r="E470">
        <v>3.3</v>
      </c>
      <c r="F470">
        <v>22.5</v>
      </c>
      <c r="G470">
        <v>98.1</v>
      </c>
      <c r="H470">
        <v>29</v>
      </c>
    </row>
    <row r="471" spans="1:8" x14ac:dyDescent="0.35">
      <c r="A471">
        <v>469</v>
      </c>
      <c r="B471">
        <f>468</f>
        <v>468</v>
      </c>
      <c r="C471" t="s">
        <v>792</v>
      </c>
      <c r="D471" t="s">
        <v>793</v>
      </c>
      <c r="E471">
        <v>27.7</v>
      </c>
      <c r="F471">
        <v>24.6</v>
      </c>
      <c r="G471">
        <v>41.1</v>
      </c>
      <c r="H471">
        <v>24.3</v>
      </c>
    </row>
    <row r="472" spans="1:8" x14ac:dyDescent="0.35">
      <c r="A472">
        <v>470</v>
      </c>
      <c r="B472">
        <f>470</f>
        <v>470</v>
      </c>
      <c r="C472" t="s">
        <v>794</v>
      </c>
      <c r="D472" t="s">
        <v>313</v>
      </c>
      <c r="E472">
        <v>95.4</v>
      </c>
      <c r="F472">
        <v>14</v>
      </c>
      <c r="G472">
        <v>9.6</v>
      </c>
      <c r="H472">
        <v>23.5</v>
      </c>
    </row>
    <row r="473" spans="1:8" x14ac:dyDescent="0.35">
      <c r="A473">
        <v>471</v>
      </c>
      <c r="B473">
        <f>470</f>
        <v>470</v>
      </c>
      <c r="C473" t="s">
        <v>795</v>
      </c>
      <c r="D473" t="s">
        <v>796</v>
      </c>
      <c r="E473">
        <v>35.5</v>
      </c>
      <c r="F473">
        <v>29.3</v>
      </c>
      <c r="G473">
        <v>15.6</v>
      </c>
      <c r="H473">
        <v>26.5</v>
      </c>
    </row>
    <row r="474" spans="1:8" x14ac:dyDescent="0.35">
      <c r="A474">
        <v>472</v>
      </c>
      <c r="B474">
        <v>472</v>
      </c>
      <c r="C474" t="s">
        <v>797</v>
      </c>
      <c r="D474" t="s">
        <v>798</v>
      </c>
      <c r="E474">
        <v>37.9</v>
      </c>
      <c r="F474">
        <v>13.9</v>
      </c>
      <c r="G474">
        <v>69</v>
      </c>
      <c r="H474">
        <v>18.899999999999999</v>
      </c>
    </row>
    <row r="475" spans="1:8" x14ac:dyDescent="0.35">
      <c r="A475">
        <v>473</v>
      </c>
      <c r="B475">
        <v>473</v>
      </c>
      <c r="C475" t="s">
        <v>799</v>
      </c>
      <c r="D475" t="s">
        <v>800</v>
      </c>
      <c r="E475">
        <v>63.1</v>
      </c>
      <c r="F475">
        <v>27.4</v>
      </c>
      <c r="G475">
        <v>10.4</v>
      </c>
      <c r="H475">
        <v>6.6</v>
      </c>
    </row>
    <row r="476" spans="1:8" x14ac:dyDescent="0.35">
      <c r="A476">
        <v>474</v>
      </c>
      <c r="B476">
        <f>474</f>
        <v>474</v>
      </c>
      <c r="C476" t="s">
        <v>801</v>
      </c>
      <c r="D476" t="s">
        <v>802</v>
      </c>
      <c r="E476">
        <v>6.1</v>
      </c>
      <c r="F476">
        <v>13.7</v>
      </c>
      <c r="G476">
        <v>96.5</v>
      </c>
      <c r="H476">
        <v>37.799999999999997</v>
      </c>
    </row>
    <row r="477" spans="1:8" x14ac:dyDescent="0.35">
      <c r="A477">
        <v>475</v>
      </c>
      <c r="B477">
        <f>474</f>
        <v>474</v>
      </c>
      <c r="C477" t="s">
        <v>803</v>
      </c>
      <c r="D477" t="s">
        <v>804</v>
      </c>
      <c r="E477">
        <v>2.6</v>
      </c>
      <c r="F477">
        <v>53.2</v>
      </c>
      <c r="G477">
        <v>43.5</v>
      </c>
      <c r="H477">
        <v>32.799999999999997</v>
      </c>
    </row>
    <row r="478" spans="1:8" x14ac:dyDescent="0.35">
      <c r="A478">
        <v>476</v>
      </c>
      <c r="B478">
        <f>474</f>
        <v>474</v>
      </c>
      <c r="C478" t="s">
        <v>805</v>
      </c>
      <c r="D478" t="s">
        <v>383</v>
      </c>
      <c r="E478">
        <v>13.8</v>
      </c>
      <c r="F478">
        <v>18.3</v>
      </c>
      <c r="G478">
        <v>7.8</v>
      </c>
      <c r="H478">
        <v>61.2</v>
      </c>
    </row>
    <row r="479" spans="1:8" x14ac:dyDescent="0.35">
      <c r="A479">
        <v>477</v>
      </c>
      <c r="B479">
        <f>477</f>
        <v>477</v>
      </c>
      <c r="C479" t="s">
        <v>806</v>
      </c>
      <c r="D479" t="s">
        <v>29</v>
      </c>
      <c r="E479">
        <v>99.8</v>
      </c>
      <c r="F479">
        <v>12.6</v>
      </c>
      <c r="G479">
        <v>17.899999999999999</v>
      </c>
      <c r="H479">
        <v>17.399999999999999</v>
      </c>
    </row>
    <row r="480" spans="1:8" x14ac:dyDescent="0.35">
      <c r="A480">
        <v>478</v>
      </c>
      <c r="B480">
        <f>477</f>
        <v>477</v>
      </c>
      <c r="C480" t="s">
        <v>807</v>
      </c>
      <c r="D480" t="s">
        <v>808</v>
      </c>
      <c r="E480">
        <v>94.9</v>
      </c>
      <c r="F480">
        <v>13</v>
      </c>
      <c r="G480">
        <v>18.899999999999999</v>
      </c>
      <c r="H480">
        <v>16.399999999999999</v>
      </c>
    </row>
    <row r="481" spans="1:8" x14ac:dyDescent="0.35">
      <c r="A481">
        <v>479</v>
      </c>
      <c r="B481">
        <f>477</f>
        <v>477</v>
      </c>
      <c r="C481" t="s">
        <v>809</v>
      </c>
      <c r="D481" t="s">
        <v>404</v>
      </c>
      <c r="E481">
        <v>19.7</v>
      </c>
      <c r="F481">
        <v>20</v>
      </c>
      <c r="G481">
        <v>25.1</v>
      </c>
      <c r="H481">
        <v>46.4</v>
      </c>
    </row>
    <row r="482" spans="1:8" x14ac:dyDescent="0.35">
      <c r="A482">
        <v>480</v>
      </c>
      <c r="B482">
        <f>477</f>
        <v>477</v>
      </c>
      <c r="C482" t="s">
        <v>810</v>
      </c>
      <c r="D482" t="s">
        <v>811</v>
      </c>
      <c r="E482">
        <v>51.6</v>
      </c>
      <c r="F482">
        <v>16.899999999999999</v>
      </c>
      <c r="G482">
        <v>2.8</v>
      </c>
      <c r="H482">
        <v>12.2</v>
      </c>
    </row>
    <row r="483" spans="1:8" x14ac:dyDescent="0.35">
      <c r="A483">
        <v>481</v>
      </c>
      <c r="B483">
        <f>481</f>
        <v>481</v>
      </c>
      <c r="C483" t="s">
        <v>812</v>
      </c>
      <c r="D483" t="s">
        <v>813</v>
      </c>
      <c r="E483">
        <v>16.399999999999999</v>
      </c>
      <c r="F483">
        <v>33.6</v>
      </c>
      <c r="G483">
        <v>73.599999999999994</v>
      </c>
      <c r="H483">
        <v>22.6</v>
      </c>
    </row>
    <row r="484" spans="1:8" x14ac:dyDescent="0.35">
      <c r="A484">
        <v>482</v>
      </c>
      <c r="B484">
        <f>481</f>
        <v>481</v>
      </c>
      <c r="C484" t="s">
        <v>814</v>
      </c>
      <c r="D484" t="s">
        <v>662</v>
      </c>
      <c r="E484">
        <v>34.5</v>
      </c>
      <c r="F484">
        <v>20.7</v>
      </c>
      <c r="G484">
        <v>71</v>
      </c>
      <c r="H484">
        <v>21.2</v>
      </c>
    </row>
    <row r="485" spans="1:8" x14ac:dyDescent="0.35">
      <c r="A485">
        <v>483</v>
      </c>
      <c r="B485">
        <f>483</f>
        <v>483</v>
      </c>
      <c r="C485" t="s">
        <v>815</v>
      </c>
      <c r="D485" t="s">
        <v>639</v>
      </c>
      <c r="E485">
        <v>99.9</v>
      </c>
      <c r="F485">
        <v>9.1999999999999993</v>
      </c>
      <c r="G485">
        <v>7.5</v>
      </c>
      <c r="H485">
        <v>25.4</v>
      </c>
    </row>
    <row r="486" spans="1:8" x14ac:dyDescent="0.35">
      <c r="A486">
        <v>484</v>
      </c>
      <c r="B486">
        <f>483</f>
        <v>483</v>
      </c>
      <c r="C486" t="s">
        <v>816</v>
      </c>
      <c r="D486" t="s">
        <v>463</v>
      </c>
      <c r="E486">
        <v>79</v>
      </c>
      <c r="F486">
        <v>11.3</v>
      </c>
      <c r="G486">
        <v>10.9</v>
      </c>
      <c r="H486">
        <v>16.2</v>
      </c>
    </row>
    <row r="487" spans="1:8" x14ac:dyDescent="0.35">
      <c r="A487">
        <v>485</v>
      </c>
      <c r="B487">
        <f>485</f>
        <v>485</v>
      </c>
      <c r="C487" t="s">
        <v>817</v>
      </c>
      <c r="D487" t="s">
        <v>10</v>
      </c>
      <c r="E487">
        <v>33.200000000000003</v>
      </c>
      <c r="F487">
        <v>25.5</v>
      </c>
      <c r="G487">
        <v>14.2</v>
      </c>
      <c r="H487">
        <v>13</v>
      </c>
    </row>
    <row r="488" spans="1:8" x14ac:dyDescent="0.35">
      <c r="A488">
        <v>486</v>
      </c>
      <c r="B488">
        <f>485</f>
        <v>485</v>
      </c>
      <c r="C488" t="s">
        <v>818</v>
      </c>
      <c r="D488" t="s">
        <v>819</v>
      </c>
      <c r="E488">
        <v>14.2</v>
      </c>
      <c r="F488">
        <v>52.4</v>
      </c>
      <c r="G488">
        <v>24.4</v>
      </c>
      <c r="H488">
        <v>16.7</v>
      </c>
    </row>
    <row r="489" spans="1:8" x14ac:dyDescent="0.35">
      <c r="A489">
        <v>487</v>
      </c>
      <c r="B489">
        <f>485</f>
        <v>485</v>
      </c>
      <c r="C489" t="s">
        <v>820</v>
      </c>
      <c r="D489" t="s">
        <v>821</v>
      </c>
      <c r="E489">
        <v>22.9</v>
      </c>
      <c r="F489">
        <v>45.9</v>
      </c>
      <c r="G489">
        <v>10.4</v>
      </c>
      <c r="H489">
        <v>11.5</v>
      </c>
    </row>
    <row r="490" spans="1:8" x14ac:dyDescent="0.35">
      <c r="A490">
        <v>488</v>
      </c>
      <c r="B490">
        <f>488</f>
        <v>488</v>
      </c>
      <c r="C490" t="s">
        <v>822</v>
      </c>
      <c r="D490" t="s">
        <v>72</v>
      </c>
      <c r="E490">
        <v>12.8</v>
      </c>
      <c r="F490">
        <v>36.9</v>
      </c>
      <c r="G490">
        <v>66.7</v>
      </c>
      <c r="H490">
        <v>30.3</v>
      </c>
    </row>
    <row r="491" spans="1:8" x14ac:dyDescent="0.35">
      <c r="A491">
        <v>489</v>
      </c>
      <c r="B491">
        <f>488</f>
        <v>488</v>
      </c>
      <c r="C491" t="s">
        <v>823</v>
      </c>
      <c r="D491" t="s">
        <v>824</v>
      </c>
      <c r="E491">
        <v>67.3</v>
      </c>
      <c r="F491">
        <v>16.7</v>
      </c>
      <c r="G491">
        <v>26.8</v>
      </c>
      <c r="H491">
        <v>33.6</v>
      </c>
    </row>
    <row r="492" spans="1:8" x14ac:dyDescent="0.35">
      <c r="A492">
        <v>490</v>
      </c>
      <c r="B492">
        <f>488</f>
        <v>488</v>
      </c>
      <c r="C492" t="s">
        <v>825</v>
      </c>
      <c r="D492" t="s">
        <v>826</v>
      </c>
      <c r="E492">
        <v>9.3000000000000007</v>
      </c>
      <c r="F492">
        <v>24.1</v>
      </c>
      <c r="G492">
        <v>93.5</v>
      </c>
      <c r="H492">
        <v>42.9</v>
      </c>
    </row>
    <row r="493" spans="1:8" x14ac:dyDescent="0.35">
      <c r="A493">
        <v>491</v>
      </c>
      <c r="B493">
        <f>488</f>
        <v>488</v>
      </c>
      <c r="C493" t="s">
        <v>827</v>
      </c>
      <c r="D493" t="s">
        <v>199</v>
      </c>
      <c r="E493">
        <v>74.400000000000006</v>
      </c>
      <c r="F493">
        <v>9.1999999999999993</v>
      </c>
      <c r="G493">
        <v>15.4</v>
      </c>
      <c r="H493">
        <v>12.4</v>
      </c>
    </row>
    <row r="494" spans="1:8" x14ac:dyDescent="0.35">
      <c r="A494">
        <v>492</v>
      </c>
      <c r="B494">
        <f>488</f>
        <v>488</v>
      </c>
      <c r="C494" t="s">
        <v>828</v>
      </c>
      <c r="D494" t="s">
        <v>534</v>
      </c>
      <c r="E494">
        <v>99.9</v>
      </c>
      <c r="F494">
        <v>7.8</v>
      </c>
      <c r="G494">
        <v>8.6</v>
      </c>
      <c r="H494">
        <v>25.6</v>
      </c>
    </row>
    <row r="495" spans="1:8" x14ac:dyDescent="0.35">
      <c r="A495">
        <v>493</v>
      </c>
      <c r="B495">
        <f>494</f>
        <v>494</v>
      </c>
      <c r="C495" t="s">
        <v>829</v>
      </c>
      <c r="D495" t="s">
        <v>657</v>
      </c>
      <c r="E495">
        <v>54.3</v>
      </c>
      <c r="F495">
        <v>15.9</v>
      </c>
      <c r="G495">
        <v>27.1</v>
      </c>
      <c r="H495">
        <v>43.9</v>
      </c>
    </row>
    <row r="496" spans="1:8" x14ac:dyDescent="0.35">
      <c r="A496">
        <v>494</v>
      </c>
      <c r="B496">
        <f>494</f>
        <v>494</v>
      </c>
      <c r="C496" t="s">
        <v>830</v>
      </c>
      <c r="D496" t="s">
        <v>72</v>
      </c>
      <c r="E496">
        <v>8</v>
      </c>
      <c r="F496">
        <v>30.6</v>
      </c>
      <c r="G496">
        <v>57.2</v>
      </c>
      <c r="H496">
        <v>58.9</v>
      </c>
    </row>
    <row r="497" spans="1:8" x14ac:dyDescent="0.35">
      <c r="A497">
        <v>495</v>
      </c>
      <c r="B497">
        <v>496</v>
      </c>
      <c r="C497" t="s">
        <v>831</v>
      </c>
      <c r="D497" t="s">
        <v>511</v>
      </c>
      <c r="E497">
        <v>2.2999999999999998</v>
      </c>
      <c r="F497">
        <v>32.700000000000003</v>
      </c>
      <c r="G497">
        <v>60.7</v>
      </c>
      <c r="H497">
        <v>48.2</v>
      </c>
    </row>
    <row r="498" spans="1:8" x14ac:dyDescent="0.35">
      <c r="A498">
        <v>496</v>
      </c>
      <c r="B498">
        <f>497</f>
        <v>497</v>
      </c>
      <c r="C498" t="s">
        <v>832</v>
      </c>
      <c r="D498" t="s">
        <v>60</v>
      </c>
      <c r="E498">
        <v>33.9</v>
      </c>
      <c r="F498">
        <v>22.9</v>
      </c>
      <c r="G498">
        <v>4.4000000000000004</v>
      </c>
      <c r="H498">
        <v>18.100000000000001</v>
      </c>
    </row>
    <row r="499" spans="1:8" x14ac:dyDescent="0.35">
      <c r="A499">
        <v>497</v>
      </c>
      <c r="B499">
        <f>497</f>
        <v>497</v>
      </c>
      <c r="C499" t="s">
        <v>833</v>
      </c>
      <c r="D499" t="s">
        <v>493</v>
      </c>
      <c r="E499">
        <v>2.9</v>
      </c>
      <c r="F499">
        <v>30.5</v>
      </c>
      <c r="G499">
        <v>58.9</v>
      </c>
      <c r="H499">
        <v>52.1</v>
      </c>
    </row>
    <row r="500" spans="1:8" x14ac:dyDescent="0.35">
      <c r="A500">
        <v>498</v>
      </c>
      <c r="B500">
        <f>497</f>
        <v>497</v>
      </c>
      <c r="C500" t="s">
        <v>834</v>
      </c>
      <c r="D500" t="s">
        <v>835</v>
      </c>
      <c r="E500">
        <v>44.8</v>
      </c>
      <c r="F500">
        <v>12</v>
      </c>
      <c r="G500">
        <v>9.3000000000000007</v>
      </c>
      <c r="H500">
        <v>10</v>
      </c>
    </row>
    <row r="501" spans="1:8" x14ac:dyDescent="0.35">
      <c r="A501">
        <v>499</v>
      </c>
      <c r="B501">
        <f>500</f>
        <v>500</v>
      </c>
      <c r="C501" t="s">
        <v>836</v>
      </c>
      <c r="D501" t="s">
        <v>837</v>
      </c>
      <c r="E501">
        <v>16.7</v>
      </c>
      <c r="F501">
        <v>31.4</v>
      </c>
      <c r="G501">
        <v>70.8</v>
      </c>
      <c r="H501">
        <v>13.1</v>
      </c>
    </row>
    <row r="502" spans="1:8" x14ac:dyDescent="0.35">
      <c r="A502">
        <v>500</v>
      </c>
      <c r="B502">
        <f>500</f>
        <v>500</v>
      </c>
      <c r="C502" t="s">
        <v>838</v>
      </c>
      <c r="D502" t="s">
        <v>839</v>
      </c>
      <c r="E502">
        <v>41.8</v>
      </c>
      <c r="F502">
        <v>22.8</v>
      </c>
      <c r="G502">
        <v>32.1</v>
      </c>
      <c r="H502">
        <v>9.1</v>
      </c>
    </row>
    <row r="503" spans="1:8" x14ac:dyDescent="0.35">
      <c r="A503">
        <v>501</v>
      </c>
      <c r="B503">
        <f>502</f>
        <v>502</v>
      </c>
      <c r="C503" t="s">
        <v>840</v>
      </c>
      <c r="D503" t="s">
        <v>841</v>
      </c>
      <c r="E503">
        <v>27.6</v>
      </c>
      <c r="F503">
        <v>39.299999999999997</v>
      </c>
      <c r="G503">
        <v>5.9</v>
      </c>
      <c r="H503">
        <v>32.299999999999997</v>
      </c>
    </row>
    <row r="504" spans="1:8" x14ac:dyDescent="0.35">
      <c r="A504">
        <v>502</v>
      </c>
      <c r="B504">
        <f>502</f>
        <v>502</v>
      </c>
      <c r="C504" t="s">
        <v>842</v>
      </c>
      <c r="D504" t="s">
        <v>843</v>
      </c>
      <c r="E504">
        <v>47.6</v>
      </c>
      <c r="F504">
        <v>31</v>
      </c>
      <c r="G504">
        <v>20.8</v>
      </c>
      <c r="H504">
        <v>18</v>
      </c>
    </row>
    <row r="505" spans="1:8" x14ac:dyDescent="0.35">
      <c r="A505">
        <v>503</v>
      </c>
      <c r="B505">
        <f>504</f>
        <v>504</v>
      </c>
      <c r="C505" t="s">
        <v>844</v>
      </c>
      <c r="D505" t="s">
        <v>845</v>
      </c>
      <c r="E505">
        <v>87.9</v>
      </c>
      <c r="F505">
        <v>10.7</v>
      </c>
      <c r="G505">
        <v>4.7</v>
      </c>
      <c r="H505">
        <v>17.399999999999999</v>
      </c>
    </row>
    <row r="506" spans="1:8" x14ac:dyDescent="0.35">
      <c r="A506">
        <v>504</v>
      </c>
      <c r="B506">
        <f>504</f>
        <v>504</v>
      </c>
      <c r="C506" t="s">
        <v>846</v>
      </c>
      <c r="D506" t="s">
        <v>639</v>
      </c>
      <c r="E506">
        <v>100</v>
      </c>
      <c r="F506">
        <v>11</v>
      </c>
      <c r="G506">
        <v>4.0999999999999996</v>
      </c>
      <c r="H506">
        <v>22.7</v>
      </c>
    </row>
    <row r="507" spans="1:8" x14ac:dyDescent="0.35">
      <c r="A507">
        <v>505</v>
      </c>
      <c r="B507">
        <f>504</f>
        <v>504</v>
      </c>
      <c r="C507" t="s">
        <v>847</v>
      </c>
      <c r="D507" t="s">
        <v>848</v>
      </c>
      <c r="E507">
        <v>18.8</v>
      </c>
      <c r="F507">
        <v>35.1</v>
      </c>
      <c r="G507">
        <v>37.299999999999997</v>
      </c>
      <c r="H507">
        <v>42.9</v>
      </c>
    </row>
    <row r="508" spans="1:8" x14ac:dyDescent="0.35">
      <c r="A508">
        <v>506</v>
      </c>
      <c r="B508">
        <f>504</f>
        <v>504</v>
      </c>
      <c r="C508" t="s">
        <v>849</v>
      </c>
      <c r="D508" t="s">
        <v>850</v>
      </c>
      <c r="E508">
        <v>13.8</v>
      </c>
      <c r="F508">
        <v>16.5</v>
      </c>
      <c r="G508">
        <v>96.2</v>
      </c>
      <c r="H508">
        <v>46.6</v>
      </c>
    </row>
    <row r="509" spans="1:8" x14ac:dyDescent="0.35">
      <c r="A509">
        <v>507</v>
      </c>
      <c r="B509">
        <f>504</f>
        <v>504</v>
      </c>
      <c r="C509" t="s">
        <v>851</v>
      </c>
      <c r="D509" t="s">
        <v>852</v>
      </c>
      <c r="E509">
        <v>3.4</v>
      </c>
      <c r="F509">
        <v>22.3</v>
      </c>
      <c r="G509">
        <v>98.8</v>
      </c>
      <c r="H509">
        <v>37.299999999999997</v>
      </c>
    </row>
    <row r="510" spans="1:8" x14ac:dyDescent="0.35">
      <c r="A510">
        <v>508</v>
      </c>
      <c r="B510">
        <f>504</f>
        <v>504</v>
      </c>
      <c r="C510" t="s">
        <v>853</v>
      </c>
      <c r="D510" t="s">
        <v>517</v>
      </c>
      <c r="E510">
        <v>8.6999999999999993</v>
      </c>
      <c r="F510">
        <v>29.9</v>
      </c>
      <c r="G510">
        <v>59.5</v>
      </c>
      <c r="H510">
        <v>60.8</v>
      </c>
    </row>
    <row r="511" spans="1:8" x14ac:dyDescent="0.35">
      <c r="A511">
        <v>509</v>
      </c>
      <c r="B511">
        <f>510</f>
        <v>510</v>
      </c>
      <c r="C511" t="s">
        <v>854</v>
      </c>
      <c r="D511" t="s">
        <v>855</v>
      </c>
      <c r="E511">
        <v>97.3</v>
      </c>
      <c r="F511">
        <v>11.7</v>
      </c>
      <c r="G511">
        <v>5</v>
      </c>
      <c r="H511">
        <v>28.7</v>
      </c>
    </row>
    <row r="512" spans="1:8" x14ac:dyDescent="0.35">
      <c r="A512">
        <v>510</v>
      </c>
      <c r="B512">
        <f>510</f>
        <v>510</v>
      </c>
      <c r="C512" t="s">
        <v>856</v>
      </c>
      <c r="D512" t="s">
        <v>857</v>
      </c>
      <c r="E512">
        <v>5.3</v>
      </c>
      <c r="F512">
        <v>21</v>
      </c>
      <c r="G512">
        <v>99.2</v>
      </c>
      <c r="H512">
        <v>29.7</v>
      </c>
    </row>
    <row r="513" spans="1:8" x14ac:dyDescent="0.35">
      <c r="A513">
        <v>511</v>
      </c>
      <c r="B513">
        <f>510</f>
        <v>510</v>
      </c>
      <c r="C513" t="s">
        <v>858</v>
      </c>
      <c r="D513" t="s">
        <v>859</v>
      </c>
      <c r="E513">
        <v>37.200000000000003</v>
      </c>
      <c r="F513">
        <v>25.2</v>
      </c>
      <c r="G513">
        <v>23</v>
      </c>
      <c r="H513">
        <v>32.5</v>
      </c>
    </row>
    <row r="514" spans="1:8" x14ac:dyDescent="0.35">
      <c r="A514">
        <v>512</v>
      </c>
      <c r="B514">
        <v>513</v>
      </c>
      <c r="C514" t="s">
        <v>860</v>
      </c>
      <c r="D514" t="s">
        <v>861</v>
      </c>
      <c r="E514">
        <v>20.6</v>
      </c>
      <c r="F514">
        <v>51</v>
      </c>
      <c r="G514">
        <v>21.4</v>
      </c>
      <c r="H514">
        <v>26.4</v>
      </c>
    </row>
    <row r="515" spans="1:8" x14ac:dyDescent="0.35">
      <c r="A515">
        <v>513</v>
      </c>
      <c r="B515">
        <v>514</v>
      </c>
      <c r="C515" t="s">
        <v>862</v>
      </c>
      <c r="D515" t="s">
        <v>863</v>
      </c>
      <c r="E515">
        <v>9.9</v>
      </c>
      <c r="F515">
        <v>21.8</v>
      </c>
      <c r="G515">
        <v>69.599999999999994</v>
      </c>
      <c r="H515">
        <v>18.600000000000001</v>
      </c>
    </row>
    <row r="516" spans="1:8" x14ac:dyDescent="0.35">
      <c r="A516">
        <v>514</v>
      </c>
      <c r="B516">
        <f>515</f>
        <v>515</v>
      </c>
      <c r="C516" t="s">
        <v>864</v>
      </c>
      <c r="D516" t="s">
        <v>865</v>
      </c>
      <c r="E516">
        <v>100</v>
      </c>
      <c r="F516">
        <v>8.3000000000000007</v>
      </c>
      <c r="G516">
        <v>22.9</v>
      </c>
      <c r="H516">
        <v>6.5</v>
      </c>
    </row>
    <row r="517" spans="1:8" x14ac:dyDescent="0.35">
      <c r="A517">
        <v>515</v>
      </c>
      <c r="B517">
        <f>515</f>
        <v>515</v>
      </c>
      <c r="C517" t="s">
        <v>866</v>
      </c>
      <c r="D517" t="s">
        <v>66</v>
      </c>
      <c r="E517">
        <v>93.4</v>
      </c>
      <c r="F517">
        <v>5.3</v>
      </c>
      <c r="G517">
        <v>68.7</v>
      </c>
      <c r="H517">
        <v>5.5</v>
      </c>
    </row>
    <row r="518" spans="1:8" x14ac:dyDescent="0.35">
      <c r="A518">
        <v>516</v>
      </c>
      <c r="B518">
        <f>515</f>
        <v>515</v>
      </c>
      <c r="C518" t="s">
        <v>867</v>
      </c>
      <c r="D518" t="s">
        <v>868</v>
      </c>
      <c r="E518">
        <v>10.4</v>
      </c>
      <c r="F518">
        <v>17.2</v>
      </c>
      <c r="G518">
        <v>92</v>
      </c>
      <c r="H518">
        <v>18.5</v>
      </c>
    </row>
    <row r="519" spans="1:8" x14ac:dyDescent="0.35">
      <c r="A519">
        <v>517</v>
      </c>
      <c r="B519">
        <f>518</f>
        <v>518</v>
      </c>
      <c r="C519" t="s">
        <v>869</v>
      </c>
      <c r="D519" t="s">
        <v>870</v>
      </c>
      <c r="E519">
        <v>66</v>
      </c>
      <c r="F519">
        <v>5.5</v>
      </c>
      <c r="G519">
        <v>54.5</v>
      </c>
      <c r="H519">
        <v>9.5</v>
      </c>
    </row>
    <row r="520" spans="1:8" x14ac:dyDescent="0.35">
      <c r="A520">
        <v>518</v>
      </c>
      <c r="B520">
        <f>518</f>
        <v>518</v>
      </c>
      <c r="C520" t="s">
        <v>871</v>
      </c>
      <c r="D520" t="s">
        <v>872</v>
      </c>
      <c r="E520">
        <v>42.4</v>
      </c>
      <c r="F520">
        <v>8.1</v>
      </c>
      <c r="G520">
        <v>80.2</v>
      </c>
      <c r="H520">
        <v>15</v>
      </c>
    </row>
    <row r="521" spans="1:8" x14ac:dyDescent="0.35">
      <c r="A521">
        <v>519</v>
      </c>
      <c r="B521">
        <v>520</v>
      </c>
      <c r="C521" t="s">
        <v>873</v>
      </c>
      <c r="D521" t="s">
        <v>72</v>
      </c>
      <c r="E521">
        <v>40.9</v>
      </c>
      <c r="F521">
        <v>13</v>
      </c>
      <c r="G521">
        <v>62.5</v>
      </c>
      <c r="H521">
        <v>25.4</v>
      </c>
    </row>
    <row r="522" spans="1:8" x14ac:dyDescent="0.35">
      <c r="A522">
        <v>520</v>
      </c>
      <c r="B522">
        <f>521</f>
        <v>521</v>
      </c>
      <c r="C522" t="s">
        <v>874</v>
      </c>
      <c r="D522" t="s">
        <v>875</v>
      </c>
      <c r="E522">
        <v>80.5</v>
      </c>
      <c r="F522">
        <v>15.5</v>
      </c>
      <c r="G522">
        <v>2.5</v>
      </c>
      <c r="H522">
        <v>7</v>
      </c>
    </row>
    <row r="523" spans="1:8" x14ac:dyDescent="0.35">
      <c r="A523">
        <v>521</v>
      </c>
      <c r="B523">
        <f>521</f>
        <v>521</v>
      </c>
      <c r="C523" t="s">
        <v>876</v>
      </c>
      <c r="D523" t="s">
        <v>29</v>
      </c>
      <c r="E523">
        <v>19.3</v>
      </c>
      <c r="F523">
        <v>32.5</v>
      </c>
      <c r="G523">
        <v>19.399999999999999</v>
      </c>
      <c r="H523">
        <v>57.4</v>
      </c>
    </row>
    <row r="524" spans="1:8" x14ac:dyDescent="0.35">
      <c r="A524">
        <v>522</v>
      </c>
      <c r="B524">
        <f>521</f>
        <v>521</v>
      </c>
      <c r="C524" t="s">
        <v>877</v>
      </c>
      <c r="D524" t="s">
        <v>878</v>
      </c>
      <c r="E524">
        <v>5</v>
      </c>
      <c r="F524" t="s">
        <v>303</v>
      </c>
      <c r="G524">
        <v>41.7</v>
      </c>
      <c r="H524">
        <v>14.5</v>
      </c>
    </row>
    <row r="525" spans="1:8" x14ac:dyDescent="0.35">
      <c r="A525">
        <v>523</v>
      </c>
      <c r="B525">
        <v>7.8</v>
      </c>
      <c r="C525">
        <v>19.399999999999999</v>
      </c>
      <c r="D525">
        <f>521</f>
        <v>521</v>
      </c>
      <c r="E525">
        <v>20.100000000000001</v>
      </c>
      <c r="F525">
        <v>23.6</v>
      </c>
      <c r="G525">
        <v>84.1</v>
      </c>
      <c r="H525">
        <v>8.1</v>
      </c>
    </row>
    <row r="526" spans="1:8" x14ac:dyDescent="0.35">
      <c r="A526">
        <v>524</v>
      </c>
      <c r="B526">
        <v>525</v>
      </c>
      <c r="C526" t="s">
        <v>879</v>
      </c>
      <c r="D526" t="s">
        <v>880</v>
      </c>
      <c r="E526">
        <v>40.200000000000003</v>
      </c>
      <c r="F526">
        <v>17.100000000000001</v>
      </c>
      <c r="G526">
        <v>14.4</v>
      </c>
      <c r="H526">
        <v>6.8</v>
      </c>
    </row>
    <row r="527" spans="1:8" x14ac:dyDescent="0.35">
      <c r="A527">
        <v>525</v>
      </c>
      <c r="B527">
        <f>526</f>
        <v>526</v>
      </c>
      <c r="C527" t="s">
        <v>881</v>
      </c>
      <c r="D527" t="s">
        <v>882</v>
      </c>
      <c r="E527">
        <v>3.9</v>
      </c>
      <c r="F527">
        <v>24.9</v>
      </c>
      <c r="G527">
        <v>33.1</v>
      </c>
      <c r="H527">
        <v>68.8</v>
      </c>
    </row>
    <row r="528" spans="1:8" x14ac:dyDescent="0.35">
      <c r="A528">
        <v>526</v>
      </c>
      <c r="B528">
        <f>526</f>
        <v>526</v>
      </c>
      <c r="C528" t="s">
        <v>883</v>
      </c>
      <c r="D528" t="s">
        <v>884</v>
      </c>
      <c r="E528">
        <v>26.1</v>
      </c>
      <c r="F528">
        <v>23.4</v>
      </c>
      <c r="G528">
        <v>27.5</v>
      </c>
      <c r="H528">
        <v>9.8000000000000007</v>
      </c>
    </row>
    <row r="529" spans="1:8" x14ac:dyDescent="0.35">
      <c r="A529">
        <v>527</v>
      </c>
      <c r="B529">
        <f>528</f>
        <v>528</v>
      </c>
      <c r="C529" t="s">
        <v>885</v>
      </c>
      <c r="D529" t="s">
        <v>104</v>
      </c>
      <c r="E529">
        <v>3.1</v>
      </c>
      <c r="F529">
        <v>20.399999999999999</v>
      </c>
      <c r="G529">
        <v>78.3</v>
      </c>
      <c r="H529">
        <v>27.7</v>
      </c>
    </row>
    <row r="530" spans="1:8" x14ac:dyDescent="0.35">
      <c r="A530">
        <v>528</v>
      </c>
      <c r="B530">
        <f>528</f>
        <v>528</v>
      </c>
      <c r="C530" t="s">
        <v>886</v>
      </c>
      <c r="D530" t="s">
        <v>276</v>
      </c>
      <c r="E530">
        <v>35.5</v>
      </c>
      <c r="F530">
        <v>16.3</v>
      </c>
      <c r="G530">
        <v>14.2</v>
      </c>
      <c r="H530">
        <v>15</v>
      </c>
    </row>
    <row r="531" spans="1:8" x14ac:dyDescent="0.35">
      <c r="A531">
        <v>529</v>
      </c>
      <c r="B531">
        <f>530</f>
        <v>530</v>
      </c>
      <c r="C531" t="s">
        <v>887</v>
      </c>
      <c r="D531" t="s">
        <v>888</v>
      </c>
      <c r="E531">
        <v>1.2</v>
      </c>
      <c r="F531">
        <v>28.7</v>
      </c>
      <c r="G531">
        <v>100</v>
      </c>
      <c r="H531">
        <v>36.299999999999997</v>
      </c>
    </row>
    <row r="532" spans="1:8" x14ac:dyDescent="0.35">
      <c r="A532">
        <v>530</v>
      </c>
      <c r="B532">
        <f>530</f>
        <v>530</v>
      </c>
      <c r="C532" t="s">
        <v>889</v>
      </c>
      <c r="D532" t="s">
        <v>890</v>
      </c>
      <c r="E532">
        <v>2.1</v>
      </c>
      <c r="F532">
        <v>28.1</v>
      </c>
      <c r="G532">
        <v>93</v>
      </c>
      <c r="H532">
        <v>38.700000000000003</v>
      </c>
    </row>
    <row r="533" spans="1:8" x14ac:dyDescent="0.35">
      <c r="A533">
        <v>531</v>
      </c>
      <c r="B533">
        <f>530</f>
        <v>530</v>
      </c>
      <c r="C533" t="s">
        <v>891</v>
      </c>
      <c r="D533" t="s">
        <v>892</v>
      </c>
      <c r="E533">
        <v>9.8000000000000007</v>
      </c>
      <c r="F533">
        <v>31.2</v>
      </c>
      <c r="G533">
        <v>48.7</v>
      </c>
      <c r="H533">
        <v>16</v>
      </c>
    </row>
    <row r="534" spans="1:8" x14ac:dyDescent="0.35">
      <c r="A534">
        <v>532</v>
      </c>
      <c r="B534">
        <f>533</f>
        <v>533</v>
      </c>
      <c r="C534" t="s">
        <v>893</v>
      </c>
      <c r="D534" t="s">
        <v>894</v>
      </c>
      <c r="E534">
        <v>1.6</v>
      </c>
      <c r="F534">
        <v>27.3</v>
      </c>
      <c r="G534">
        <v>86.9</v>
      </c>
      <c r="H534">
        <v>48</v>
      </c>
    </row>
    <row r="535" spans="1:8" x14ac:dyDescent="0.35">
      <c r="A535">
        <v>533</v>
      </c>
      <c r="B535">
        <f>533</f>
        <v>533</v>
      </c>
      <c r="C535" t="s">
        <v>895</v>
      </c>
      <c r="D535" t="s">
        <v>896</v>
      </c>
      <c r="E535">
        <v>36.5</v>
      </c>
      <c r="F535">
        <v>21.2</v>
      </c>
      <c r="G535">
        <v>22.8</v>
      </c>
      <c r="H535">
        <v>30.1</v>
      </c>
    </row>
    <row r="536" spans="1:8" x14ac:dyDescent="0.35">
      <c r="A536">
        <v>534</v>
      </c>
      <c r="B536">
        <f>533</f>
        <v>533</v>
      </c>
      <c r="C536" t="s">
        <v>897</v>
      </c>
      <c r="D536" t="s">
        <v>898</v>
      </c>
      <c r="E536">
        <v>32.799999999999997</v>
      </c>
      <c r="F536">
        <v>22.7</v>
      </c>
      <c r="G536">
        <v>51.2</v>
      </c>
      <c r="H536">
        <v>16.399999999999999</v>
      </c>
    </row>
    <row r="537" spans="1:8" x14ac:dyDescent="0.35">
      <c r="A537">
        <v>535</v>
      </c>
      <c r="B537">
        <v>536</v>
      </c>
      <c r="C537" t="s">
        <v>899</v>
      </c>
      <c r="D537" t="s">
        <v>900</v>
      </c>
      <c r="E537">
        <v>29.2</v>
      </c>
      <c r="F537">
        <v>30.7</v>
      </c>
      <c r="G537">
        <v>11.9</v>
      </c>
      <c r="H537">
        <v>37.6</v>
      </c>
    </row>
    <row r="538" spans="1:8" x14ac:dyDescent="0.35">
      <c r="A538">
        <v>536</v>
      </c>
      <c r="B538">
        <f>537</f>
        <v>537</v>
      </c>
      <c r="C538" t="s">
        <v>901</v>
      </c>
      <c r="D538" t="s">
        <v>404</v>
      </c>
      <c r="E538">
        <v>3.6</v>
      </c>
      <c r="F538">
        <v>15.8</v>
      </c>
      <c r="G538">
        <v>66</v>
      </c>
      <c r="H538">
        <v>38.799999999999997</v>
      </c>
    </row>
    <row r="539" spans="1:8" x14ac:dyDescent="0.35">
      <c r="A539">
        <v>537</v>
      </c>
      <c r="B539">
        <f>537</f>
        <v>537</v>
      </c>
      <c r="C539" t="s">
        <v>902</v>
      </c>
      <c r="D539" t="s">
        <v>903</v>
      </c>
      <c r="E539">
        <v>22.4</v>
      </c>
      <c r="F539">
        <v>10.4</v>
      </c>
      <c r="G539">
        <v>98.1</v>
      </c>
      <c r="H539">
        <v>5.3</v>
      </c>
    </row>
    <row r="540" spans="1:8" x14ac:dyDescent="0.35">
      <c r="A540">
        <v>538</v>
      </c>
      <c r="B540">
        <f>537</f>
        <v>537</v>
      </c>
      <c r="C540" t="s">
        <v>904</v>
      </c>
      <c r="D540" t="s">
        <v>905</v>
      </c>
      <c r="E540">
        <v>62.1</v>
      </c>
      <c r="F540">
        <v>5.6</v>
      </c>
      <c r="G540">
        <v>2.5</v>
      </c>
      <c r="H540">
        <v>6.5</v>
      </c>
    </row>
    <row r="541" spans="1:8" x14ac:dyDescent="0.35">
      <c r="A541">
        <v>539</v>
      </c>
      <c r="B541">
        <f>540</f>
        <v>540</v>
      </c>
      <c r="C541" t="s">
        <v>906</v>
      </c>
      <c r="D541" t="s">
        <v>907</v>
      </c>
      <c r="E541">
        <v>18.7</v>
      </c>
      <c r="F541">
        <v>23.9</v>
      </c>
      <c r="G541">
        <v>68.5</v>
      </c>
      <c r="H541">
        <v>20.8</v>
      </c>
    </row>
    <row r="542" spans="1:8" x14ac:dyDescent="0.35">
      <c r="A542">
        <v>540</v>
      </c>
      <c r="B542">
        <f>540</f>
        <v>540</v>
      </c>
      <c r="C542" t="s">
        <v>908</v>
      </c>
      <c r="D542" t="s">
        <v>909</v>
      </c>
      <c r="E542">
        <v>51.6</v>
      </c>
      <c r="F542">
        <v>23.8</v>
      </c>
      <c r="G542">
        <v>8.3000000000000007</v>
      </c>
      <c r="H542">
        <v>19.2</v>
      </c>
    </row>
    <row r="543" spans="1:8" x14ac:dyDescent="0.35">
      <c r="A543">
        <v>541</v>
      </c>
      <c r="B543">
        <f>540</f>
        <v>540</v>
      </c>
      <c r="C543" t="s">
        <v>910</v>
      </c>
      <c r="D543" t="s">
        <v>911</v>
      </c>
      <c r="E543">
        <v>12.3</v>
      </c>
      <c r="F543">
        <v>31.9</v>
      </c>
      <c r="G543">
        <v>87.3</v>
      </c>
      <c r="H543">
        <v>13.7</v>
      </c>
    </row>
    <row r="544" spans="1:8" x14ac:dyDescent="0.35">
      <c r="A544">
        <v>542</v>
      </c>
      <c r="B544">
        <f>540</f>
        <v>540</v>
      </c>
      <c r="C544" t="s">
        <v>912</v>
      </c>
      <c r="D544" t="s">
        <v>913</v>
      </c>
      <c r="E544">
        <v>11.4</v>
      </c>
      <c r="F544">
        <v>26.8</v>
      </c>
      <c r="G544">
        <v>51</v>
      </c>
      <c r="H544">
        <v>29.6</v>
      </c>
    </row>
    <row r="545" spans="1:8" x14ac:dyDescent="0.35">
      <c r="A545">
        <v>543</v>
      </c>
      <c r="B545">
        <v>544</v>
      </c>
      <c r="C545" t="s">
        <v>914</v>
      </c>
      <c r="D545" t="s">
        <v>484</v>
      </c>
      <c r="E545">
        <v>50.7</v>
      </c>
      <c r="F545">
        <v>30.4</v>
      </c>
      <c r="G545">
        <v>5.0999999999999996</v>
      </c>
      <c r="H545">
        <v>23</v>
      </c>
    </row>
    <row r="546" spans="1:8" x14ac:dyDescent="0.35">
      <c r="A546">
        <v>544</v>
      </c>
      <c r="B546">
        <v>545</v>
      </c>
      <c r="C546" t="s">
        <v>915</v>
      </c>
      <c r="D546" t="s">
        <v>916</v>
      </c>
      <c r="E546">
        <v>50.1</v>
      </c>
      <c r="F546">
        <v>12.8</v>
      </c>
      <c r="G546">
        <v>5.9</v>
      </c>
      <c r="H546">
        <v>11.7</v>
      </c>
    </row>
    <row r="547" spans="1:8" x14ac:dyDescent="0.35">
      <c r="A547">
        <v>545</v>
      </c>
      <c r="B547">
        <f>546</f>
        <v>546</v>
      </c>
      <c r="C547" t="s">
        <v>917</v>
      </c>
      <c r="D547" t="s">
        <v>918</v>
      </c>
      <c r="E547">
        <v>26.1</v>
      </c>
      <c r="F547">
        <v>33.1</v>
      </c>
      <c r="G547">
        <v>10.8</v>
      </c>
      <c r="H547">
        <v>32.700000000000003</v>
      </c>
    </row>
    <row r="548" spans="1:8" x14ac:dyDescent="0.35">
      <c r="A548">
        <v>546</v>
      </c>
      <c r="B548">
        <f>546</f>
        <v>546</v>
      </c>
      <c r="C548" t="s">
        <v>919</v>
      </c>
      <c r="D548" t="s">
        <v>920</v>
      </c>
      <c r="E548">
        <v>97.4</v>
      </c>
      <c r="F548">
        <v>8</v>
      </c>
      <c r="G548">
        <v>22.2</v>
      </c>
      <c r="H548">
        <v>18.399999999999999</v>
      </c>
    </row>
    <row r="549" spans="1:8" x14ac:dyDescent="0.35">
      <c r="A549">
        <v>547</v>
      </c>
      <c r="B549">
        <f>546</f>
        <v>546</v>
      </c>
      <c r="C549" t="s">
        <v>921</v>
      </c>
      <c r="D549" t="s">
        <v>922</v>
      </c>
      <c r="E549">
        <v>48.2</v>
      </c>
      <c r="F549">
        <v>20.6</v>
      </c>
      <c r="G549">
        <v>6.1</v>
      </c>
      <c r="H549">
        <v>17.8</v>
      </c>
    </row>
    <row r="550" spans="1:8" x14ac:dyDescent="0.35">
      <c r="A550">
        <v>548</v>
      </c>
      <c r="B550">
        <f>549</f>
        <v>549</v>
      </c>
      <c r="C550" t="s">
        <v>923</v>
      </c>
      <c r="D550" t="s">
        <v>924</v>
      </c>
      <c r="E550">
        <v>18.3</v>
      </c>
      <c r="F550">
        <v>32.200000000000003</v>
      </c>
      <c r="G550">
        <v>31</v>
      </c>
      <c r="H550">
        <v>28.1</v>
      </c>
    </row>
    <row r="551" spans="1:8" x14ac:dyDescent="0.35">
      <c r="A551">
        <v>549</v>
      </c>
      <c r="B551">
        <f>549</f>
        <v>549</v>
      </c>
      <c r="C551" t="s">
        <v>925</v>
      </c>
      <c r="D551" t="s">
        <v>926</v>
      </c>
      <c r="E551">
        <v>5.6</v>
      </c>
      <c r="F551">
        <v>46.9</v>
      </c>
      <c r="G551">
        <v>28</v>
      </c>
      <c r="H551">
        <v>37.799999999999997</v>
      </c>
    </row>
    <row r="552" spans="1:8" x14ac:dyDescent="0.35">
      <c r="A552">
        <v>550</v>
      </c>
      <c r="B552">
        <f>551</f>
        <v>551</v>
      </c>
      <c r="C552" t="s">
        <v>927</v>
      </c>
      <c r="D552" t="s">
        <v>675</v>
      </c>
      <c r="E552">
        <v>3.3</v>
      </c>
      <c r="F552">
        <v>31.7</v>
      </c>
      <c r="G552">
        <v>17.8</v>
      </c>
      <c r="H552">
        <v>47.6</v>
      </c>
    </row>
    <row r="553" spans="1:8" x14ac:dyDescent="0.35">
      <c r="A553">
        <v>551</v>
      </c>
      <c r="B553">
        <f>551</f>
        <v>551</v>
      </c>
      <c r="C553" t="s">
        <v>928</v>
      </c>
      <c r="D553" t="s">
        <v>929</v>
      </c>
      <c r="E553">
        <v>62</v>
      </c>
      <c r="F553">
        <v>8.5</v>
      </c>
      <c r="G553">
        <v>5.8</v>
      </c>
      <c r="H553">
        <v>9.5</v>
      </c>
    </row>
    <row r="554" spans="1:8" x14ac:dyDescent="0.35">
      <c r="A554">
        <v>552</v>
      </c>
      <c r="B554">
        <f>551</f>
        <v>551</v>
      </c>
      <c r="C554" t="s">
        <v>930</v>
      </c>
      <c r="D554" t="s">
        <v>222</v>
      </c>
      <c r="E554">
        <v>6.9</v>
      </c>
      <c r="F554">
        <v>46.6</v>
      </c>
      <c r="G554">
        <v>11.7</v>
      </c>
      <c r="H554">
        <v>46.5</v>
      </c>
    </row>
    <row r="555" spans="1:8" x14ac:dyDescent="0.35">
      <c r="A555">
        <v>553</v>
      </c>
      <c r="B555">
        <f>551</f>
        <v>551</v>
      </c>
      <c r="C555" t="s">
        <v>931</v>
      </c>
      <c r="D555" t="s">
        <v>225</v>
      </c>
      <c r="E555">
        <v>25.9</v>
      </c>
      <c r="F555">
        <v>19.8</v>
      </c>
      <c r="G555">
        <v>8.1</v>
      </c>
      <c r="H555">
        <v>28.5</v>
      </c>
    </row>
    <row r="556" spans="1:8" x14ac:dyDescent="0.35">
      <c r="A556">
        <v>554</v>
      </c>
      <c r="B556">
        <f>555</f>
        <v>555</v>
      </c>
      <c r="C556" t="s">
        <v>932</v>
      </c>
      <c r="D556" t="s">
        <v>933</v>
      </c>
      <c r="E556">
        <v>8.9</v>
      </c>
      <c r="F556">
        <v>46.4</v>
      </c>
      <c r="G556">
        <v>20.5</v>
      </c>
      <c r="H556">
        <v>27.3</v>
      </c>
    </row>
    <row r="557" spans="1:8" x14ac:dyDescent="0.35">
      <c r="A557">
        <v>555</v>
      </c>
      <c r="B557">
        <f>555</f>
        <v>555</v>
      </c>
      <c r="C557" t="s">
        <v>934</v>
      </c>
      <c r="D557" t="s">
        <v>935</v>
      </c>
      <c r="E557">
        <v>27.4</v>
      </c>
      <c r="F557">
        <v>18.600000000000001</v>
      </c>
      <c r="G557">
        <v>66.2</v>
      </c>
      <c r="H557">
        <v>27.3</v>
      </c>
    </row>
    <row r="558" spans="1:8" x14ac:dyDescent="0.35">
      <c r="A558">
        <v>556</v>
      </c>
      <c r="B558">
        <f>555</f>
        <v>555</v>
      </c>
      <c r="C558" t="s">
        <v>936</v>
      </c>
      <c r="D558" t="s">
        <v>218</v>
      </c>
      <c r="E558">
        <v>38.299999999999997</v>
      </c>
      <c r="F558">
        <v>38.1</v>
      </c>
      <c r="G558">
        <v>18.3</v>
      </c>
      <c r="H558">
        <v>18.3</v>
      </c>
    </row>
    <row r="559" spans="1:8" x14ac:dyDescent="0.35">
      <c r="A559">
        <v>557</v>
      </c>
      <c r="B559">
        <f>555</f>
        <v>555</v>
      </c>
      <c r="C559" t="s">
        <v>937</v>
      </c>
      <c r="D559" t="s">
        <v>385</v>
      </c>
      <c r="E559">
        <v>4</v>
      </c>
      <c r="F559">
        <v>39.6</v>
      </c>
      <c r="G559">
        <v>20.7</v>
      </c>
      <c r="H559">
        <v>32.9</v>
      </c>
    </row>
    <row r="560" spans="1:8" x14ac:dyDescent="0.35">
      <c r="A560">
        <v>558</v>
      </c>
      <c r="B560">
        <v>559</v>
      </c>
      <c r="C560" t="s">
        <v>938</v>
      </c>
      <c r="D560" t="s">
        <v>939</v>
      </c>
      <c r="E560">
        <v>5</v>
      </c>
      <c r="F560" t="s">
        <v>303</v>
      </c>
      <c r="G560">
        <v>25.4</v>
      </c>
      <c r="H560">
        <v>20.8</v>
      </c>
    </row>
    <row r="561" spans="1:8" x14ac:dyDescent="0.35">
      <c r="A561">
        <v>559</v>
      </c>
      <c r="B561">
        <v>22.2</v>
      </c>
      <c r="C561">
        <v>13</v>
      </c>
      <c r="D561">
        <f>560</f>
        <v>560</v>
      </c>
      <c r="E561">
        <v>82.7</v>
      </c>
      <c r="F561">
        <v>6.4</v>
      </c>
      <c r="G561">
        <v>53.3</v>
      </c>
      <c r="H561">
        <v>19.2</v>
      </c>
    </row>
    <row r="562" spans="1:8" x14ac:dyDescent="0.35">
      <c r="A562">
        <v>560</v>
      </c>
      <c r="B562">
        <f>560</f>
        <v>560</v>
      </c>
      <c r="C562" t="s">
        <v>940</v>
      </c>
      <c r="D562" t="s">
        <v>941</v>
      </c>
      <c r="E562">
        <v>19.399999999999999</v>
      </c>
      <c r="F562">
        <v>17.899999999999999</v>
      </c>
      <c r="G562">
        <v>29.1</v>
      </c>
      <c r="H562">
        <v>12.6</v>
      </c>
    </row>
    <row r="563" spans="1:8" x14ac:dyDescent="0.35">
      <c r="A563">
        <v>561</v>
      </c>
      <c r="B563">
        <f>560</f>
        <v>560</v>
      </c>
      <c r="C563" t="s">
        <v>942</v>
      </c>
      <c r="D563" t="s">
        <v>943</v>
      </c>
      <c r="E563">
        <v>11.2</v>
      </c>
      <c r="F563">
        <v>35</v>
      </c>
      <c r="G563">
        <v>33.799999999999997</v>
      </c>
      <c r="H563">
        <v>23.3</v>
      </c>
    </row>
    <row r="564" spans="1:8" x14ac:dyDescent="0.35">
      <c r="A564">
        <v>562</v>
      </c>
      <c r="B564">
        <f>560</f>
        <v>560</v>
      </c>
      <c r="C564" t="s">
        <v>944</v>
      </c>
      <c r="D564" t="s">
        <v>945</v>
      </c>
      <c r="E564">
        <v>5</v>
      </c>
      <c r="F564" t="s">
        <v>303</v>
      </c>
      <c r="G564">
        <v>31</v>
      </c>
      <c r="H564">
        <v>17.399999999999999</v>
      </c>
    </row>
    <row r="565" spans="1:8" x14ac:dyDescent="0.35">
      <c r="A565">
        <v>563</v>
      </c>
      <c r="B565">
        <v>15</v>
      </c>
      <c r="C565">
        <v>13.9</v>
      </c>
      <c r="D565">
        <f>560</f>
        <v>560</v>
      </c>
      <c r="E565">
        <v>84.8</v>
      </c>
      <c r="F565">
        <v>9.5</v>
      </c>
      <c r="G565">
        <v>15.3</v>
      </c>
      <c r="H565">
        <v>20.100000000000001</v>
      </c>
    </row>
    <row r="566" spans="1:8" x14ac:dyDescent="0.35">
      <c r="A566">
        <v>564</v>
      </c>
      <c r="B566">
        <f>565</f>
        <v>565</v>
      </c>
      <c r="C566" t="s">
        <v>946</v>
      </c>
      <c r="D566" t="s">
        <v>947</v>
      </c>
      <c r="E566">
        <v>5</v>
      </c>
      <c r="F566" t="s">
        <v>303</v>
      </c>
      <c r="G566">
        <v>1.6</v>
      </c>
      <c r="H566">
        <v>25.7</v>
      </c>
    </row>
    <row r="567" spans="1:8" x14ac:dyDescent="0.35">
      <c r="A567">
        <v>565</v>
      </c>
      <c r="B567">
        <v>96</v>
      </c>
      <c r="C567">
        <v>33.200000000000003</v>
      </c>
      <c r="D567">
        <f>565</f>
        <v>565</v>
      </c>
      <c r="E567">
        <v>45.8</v>
      </c>
      <c r="F567">
        <v>24</v>
      </c>
      <c r="G567">
        <v>35.4</v>
      </c>
      <c r="H567">
        <v>6.1</v>
      </c>
    </row>
    <row r="568" spans="1:8" x14ac:dyDescent="0.35">
      <c r="A568">
        <v>566</v>
      </c>
      <c r="B568">
        <f>567</f>
        <v>567</v>
      </c>
      <c r="C568" t="s">
        <v>948</v>
      </c>
      <c r="D568" t="s">
        <v>949</v>
      </c>
      <c r="E568">
        <v>5</v>
      </c>
      <c r="F568" t="s">
        <v>303</v>
      </c>
      <c r="G568" t="s">
        <v>304</v>
      </c>
      <c r="H568">
        <v>43.3</v>
      </c>
    </row>
    <row r="569" spans="1:8" x14ac:dyDescent="0.35">
      <c r="A569">
        <v>567</v>
      </c>
      <c r="B569">
        <v>12.3</v>
      </c>
      <c r="C569">
        <v>21.2</v>
      </c>
      <c r="D569">
        <v>8.5</v>
      </c>
      <c r="E569">
        <v>8.4</v>
      </c>
      <c r="F569">
        <v>24.8</v>
      </c>
      <c r="G569">
        <v>27</v>
      </c>
      <c r="H569">
        <v>33.799999999999997</v>
      </c>
    </row>
    <row r="570" spans="1:8" x14ac:dyDescent="0.35">
      <c r="A570">
        <v>568</v>
      </c>
      <c r="B570">
        <f>567</f>
        <v>567</v>
      </c>
      <c r="C570" t="s">
        <v>950</v>
      </c>
      <c r="D570" t="s">
        <v>951</v>
      </c>
      <c r="E570">
        <v>15.2</v>
      </c>
      <c r="F570">
        <v>22.7</v>
      </c>
      <c r="G570">
        <v>99.9</v>
      </c>
      <c r="H570">
        <v>10</v>
      </c>
    </row>
    <row r="571" spans="1:8" x14ac:dyDescent="0.35">
      <c r="A571">
        <v>569</v>
      </c>
      <c r="B571">
        <f>570</f>
        <v>570</v>
      </c>
      <c r="C571" t="s">
        <v>952</v>
      </c>
      <c r="D571" t="s">
        <v>953</v>
      </c>
      <c r="E571">
        <v>31.3</v>
      </c>
      <c r="F571">
        <v>16.3</v>
      </c>
      <c r="G571">
        <v>71.400000000000006</v>
      </c>
      <c r="H571">
        <v>22.3</v>
      </c>
    </row>
    <row r="572" spans="1:8" x14ac:dyDescent="0.35">
      <c r="A572">
        <v>570</v>
      </c>
      <c r="B572">
        <f>570</f>
        <v>570</v>
      </c>
      <c r="C572" t="s">
        <v>954</v>
      </c>
      <c r="D572" t="s">
        <v>542</v>
      </c>
      <c r="E572">
        <v>9.8000000000000007</v>
      </c>
      <c r="F572">
        <v>31.2</v>
      </c>
      <c r="G572">
        <v>21.4</v>
      </c>
      <c r="H572">
        <v>54.4</v>
      </c>
    </row>
    <row r="573" spans="1:8" x14ac:dyDescent="0.35">
      <c r="A573">
        <v>571</v>
      </c>
      <c r="B573">
        <f>572</f>
        <v>572</v>
      </c>
      <c r="C573" t="s">
        <v>955</v>
      </c>
      <c r="D573" t="s">
        <v>956</v>
      </c>
      <c r="E573">
        <v>9.5</v>
      </c>
      <c r="F573">
        <v>14.2</v>
      </c>
      <c r="G573">
        <v>49.2</v>
      </c>
      <c r="H573">
        <v>9.5</v>
      </c>
    </row>
    <row r="574" spans="1:8" x14ac:dyDescent="0.35">
      <c r="A574">
        <v>572</v>
      </c>
      <c r="B574">
        <f>572</f>
        <v>572</v>
      </c>
      <c r="C574" t="s">
        <v>957</v>
      </c>
      <c r="D574" t="s">
        <v>958</v>
      </c>
      <c r="E574">
        <v>35.9</v>
      </c>
      <c r="F574">
        <v>24.9</v>
      </c>
      <c r="G574">
        <v>27.3</v>
      </c>
      <c r="H574">
        <v>13.7</v>
      </c>
    </row>
    <row r="575" spans="1:8" x14ac:dyDescent="0.35">
      <c r="A575">
        <v>573</v>
      </c>
      <c r="B575">
        <f>572</f>
        <v>572</v>
      </c>
      <c r="C575" t="s">
        <v>959</v>
      </c>
      <c r="D575" t="s">
        <v>960</v>
      </c>
      <c r="E575">
        <v>56.5</v>
      </c>
      <c r="F575">
        <v>24.1</v>
      </c>
      <c r="G575">
        <v>15.9</v>
      </c>
      <c r="H575">
        <v>10.6</v>
      </c>
    </row>
    <row r="576" spans="1:8" x14ac:dyDescent="0.35">
      <c r="A576">
        <v>574</v>
      </c>
      <c r="B576">
        <f>575</f>
        <v>575</v>
      </c>
      <c r="C576" t="s">
        <v>961</v>
      </c>
      <c r="D576" t="s">
        <v>962</v>
      </c>
      <c r="E576">
        <v>45</v>
      </c>
      <c r="F576">
        <v>17.7</v>
      </c>
      <c r="G576">
        <v>12.3</v>
      </c>
      <c r="H576">
        <v>38.700000000000003</v>
      </c>
    </row>
    <row r="577" spans="1:8" x14ac:dyDescent="0.35">
      <c r="A577">
        <v>575</v>
      </c>
      <c r="B577">
        <f>575</f>
        <v>575</v>
      </c>
      <c r="C577" t="s">
        <v>963</v>
      </c>
      <c r="D577" t="s">
        <v>964</v>
      </c>
      <c r="E577">
        <v>64.5</v>
      </c>
      <c r="F577">
        <v>12</v>
      </c>
      <c r="G577">
        <v>16.399999999999999</v>
      </c>
      <c r="H577">
        <v>26.7</v>
      </c>
    </row>
    <row r="578" spans="1:8" x14ac:dyDescent="0.35">
      <c r="A578">
        <v>576</v>
      </c>
      <c r="B578">
        <f>575</f>
        <v>575</v>
      </c>
      <c r="C578" t="s">
        <v>965</v>
      </c>
      <c r="D578" t="s">
        <v>74</v>
      </c>
      <c r="E578">
        <v>2.8</v>
      </c>
      <c r="F578">
        <v>18.3</v>
      </c>
      <c r="G578">
        <v>38.1</v>
      </c>
      <c r="H578">
        <v>70.8</v>
      </c>
    </row>
    <row r="579" spans="1:8" x14ac:dyDescent="0.35">
      <c r="A579">
        <v>577</v>
      </c>
      <c r="B579">
        <f>575</f>
        <v>575</v>
      </c>
      <c r="C579" t="s">
        <v>966</v>
      </c>
      <c r="D579" t="s">
        <v>967</v>
      </c>
      <c r="E579">
        <v>40</v>
      </c>
      <c r="F579">
        <v>10.4</v>
      </c>
      <c r="G579">
        <v>78.8</v>
      </c>
      <c r="H579">
        <v>9.1</v>
      </c>
    </row>
    <row r="580" spans="1:8" x14ac:dyDescent="0.35">
      <c r="A580">
        <v>578</v>
      </c>
      <c r="B580">
        <f>575</f>
        <v>575</v>
      </c>
      <c r="C580" t="s">
        <v>968</v>
      </c>
      <c r="D580" t="s">
        <v>969</v>
      </c>
      <c r="E580">
        <v>59.9</v>
      </c>
      <c r="F580">
        <v>12.5</v>
      </c>
      <c r="G580">
        <v>7.5</v>
      </c>
      <c r="H580">
        <v>10.5</v>
      </c>
    </row>
    <row r="581" spans="1:8" x14ac:dyDescent="0.35">
      <c r="A581">
        <v>579</v>
      </c>
      <c r="B581">
        <f>575</f>
        <v>575</v>
      </c>
      <c r="C581" t="s">
        <v>970</v>
      </c>
      <c r="D581" t="s">
        <v>971</v>
      </c>
      <c r="E581">
        <v>34.6</v>
      </c>
      <c r="F581">
        <v>11.4</v>
      </c>
      <c r="G581">
        <v>12.4</v>
      </c>
      <c r="H581">
        <v>8.6999999999999993</v>
      </c>
    </row>
    <row r="582" spans="1:8" x14ac:dyDescent="0.35">
      <c r="A582">
        <v>580</v>
      </c>
      <c r="B582">
        <f>581</f>
        <v>581</v>
      </c>
      <c r="C582" t="s">
        <v>972</v>
      </c>
      <c r="D582" t="s">
        <v>696</v>
      </c>
      <c r="E582">
        <v>2.9</v>
      </c>
      <c r="F582">
        <v>27.7</v>
      </c>
      <c r="G582">
        <v>30.2</v>
      </c>
      <c r="H582">
        <v>58.6</v>
      </c>
    </row>
    <row r="583" spans="1:8" x14ac:dyDescent="0.35">
      <c r="A583">
        <v>581</v>
      </c>
      <c r="B583">
        <f>581</f>
        <v>581</v>
      </c>
      <c r="C583" t="s">
        <v>973</v>
      </c>
      <c r="D583" t="s">
        <v>974</v>
      </c>
      <c r="E583">
        <v>5</v>
      </c>
      <c r="F583" t="s">
        <v>303</v>
      </c>
      <c r="G583" t="s">
        <v>304</v>
      </c>
      <c r="H583">
        <v>13.9</v>
      </c>
    </row>
    <row r="584" spans="1:8" x14ac:dyDescent="0.35">
      <c r="A584">
        <v>582</v>
      </c>
      <c r="B584">
        <v>14.3</v>
      </c>
      <c r="C584">
        <v>20.3</v>
      </c>
      <c r="D584">
        <v>20.399999999999999</v>
      </c>
      <c r="E584">
        <v>25.7</v>
      </c>
      <c r="F584">
        <v>18.7</v>
      </c>
      <c r="G584">
        <v>22.7</v>
      </c>
      <c r="H584">
        <v>17.7</v>
      </c>
    </row>
    <row r="585" spans="1:8" x14ac:dyDescent="0.35">
      <c r="A585">
        <v>583</v>
      </c>
      <c r="B585">
        <f>581</f>
        <v>581</v>
      </c>
      <c r="C585" t="s">
        <v>975</v>
      </c>
      <c r="D585" t="s">
        <v>976</v>
      </c>
      <c r="E585">
        <v>43</v>
      </c>
      <c r="F585">
        <v>10</v>
      </c>
      <c r="G585">
        <v>24.3</v>
      </c>
      <c r="H585">
        <v>21.8</v>
      </c>
    </row>
    <row r="586" spans="1:8" x14ac:dyDescent="0.35">
      <c r="A586">
        <v>584</v>
      </c>
      <c r="B586">
        <f>581</f>
        <v>581</v>
      </c>
      <c r="C586" t="s">
        <v>977</v>
      </c>
      <c r="D586" t="s">
        <v>978</v>
      </c>
      <c r="E586">
        <v>36.1</v>
      </c>
      <c r="F586">
        <v>24.4</v>
      </c>
      <c r="G586">
        <v>12.3</v>
      </c>
      <c r="H586">
        <v>10.9</v>
      </c>
    </row>
    <row r="587" spans="1:8" x14ac:dyDescent="0.35">
      <c r="A587">
        <v>585</v>
      </c>
      <c r="B587">
        <f>581</f>
        <v>581</v>
      </c>
      <c r="C587" t="s">
        <v>979</v>
      </c>
      <c r="D587" t="s">
        <v>980</v>
      </c>
      <c r="E587">
        <v>93.2</v>
      </c>
      <c r="F587">
        <v>9.1999999999999993</v>
      </c>
      <c r="G587">
        <v>6.5</v>
      </c>
      <c r="H587">
        <v>4.8</v>
      </c>
    </row>
    <row r="588" spans="1:8" x14ac:dyDescent="0.35">
      <c r="A588">
        <v>586</v>
      </c>
      <c r="B588">
        <f>581</f>
        <v>581</v>
      </c>
      <c r="C588" t="s">
        <v>981</v>
      </c>
      <c r="D588" t="s">
        <v>982</v>
      </c>
      <c r="E588">
        <v>92.3</v>
      </c>
      <c r="F588">
        <v>7.6</v>
      </c>
      <c r="G588">
        <v>7</v>
      </c>
      <c r="H588">
        <v>15.8</v>
      </c>
    </row>
    <row r="589" spans="1:8" x14ac:dyDescent="0.35">
      <c r="A589">
        <v>587</v>
      </c>
      <c r="B589">
        <f>588</f>
        <v>588</v>
      </c>
      <c r="C589" t="s">
        <v>983</v>
      </c>
      <c r="D589" t="s">
        <v>769</v>
      </c>
      <c r="E589">
        <v>12.7</v>
      </c>
      <c r="F589">
        <v>17.5</v>
      </c>
      <c r="G589">
        <v>39.299999999999997</v>
      </c>
      <c r="H589">
        <v>34.1</v>
      </c>
    </row>
    <row r="590" spans="1:8" x14ac:dyDescent="0.35">
      <c r="A590">
        <v>588</v>
      </c>
      <c r="B590">
        <f>588</f>
        <v>588</v>
      </c>
      <c r="C590" t="s">
        <v>984</v>
      </c>
      <c r="D590" t="s">
        <v>985</v>
      </c>
      <c r="E590">
        <v>86.8</v>
      </c>
      <c r="F590">
        <v>12.7</v>
      </c>
      <c r="G590">
        <v>15.5</v>
      </c>
      <c r="H590">
        <v>18.2</v>
      </c>
    </row>
    <row r="591" spans="1:8" x14ac:dyDescent="0.35">
      <c r="A591">
        <v>589</v>
      </c>
      <c r="B591">
        <f>588</f>
        <v>588</v>
      </c>
      <c r="C591" t="s">
        <v>986</v>
      </c>
      <c r="D591" t="s">
        <v>987</v>
      </c>
      <c r="E591">
        <v>13.8</v>
      </c>
      <c r="F591">
        <v>16.5</v>
      </c>
      <c r="G591">
        <v>91.5</v>
      </c>
      <c r="H591">
        <v>5.7</v>
      </c>
    </row>
    <row r="592" spans="1:8" x14ac:dyDescent="0.35">
      <c r="A592">
        <v>590</v>
      </c>
      <c r="B592">
        <f>588</f>
        <v>588</v>
      </c>
      <c r="C592" t="s">
        <v>988</v>
      </c>
      <c r="D592" t="s">
        <v>989</v>
      </c>
      <c r="E592">
        <v>59.2</v>
      </c>
      <c r="F592">
        <v>16</v>
      </c>
      <c r="G592">
        <v>21.5</v>
      </c>
      <c r="H592">
        <v>10.1</v>
      </c>
    </row>
    <row r="593" spans="1:8" x14ac:dyDescent="0.35">
      <c r="A593">
        <v>591</v>
      </c>
      <c r="B593">
        <f>588</f>
        <v>588</v>
      </c>
      <c r="C593" t="s">
        <v>990</v>
      </c>
      <c r="D593" t="s">
        <v>991</v>
      </c>
      <c r="E593">
        <v>28.5</v>
      </c>
      <c r="F593">
        <v>18.8</v>
      </c>
      <c r="G593">
        <v>4.4000000000000004</v>
      </c>
      <c r="H593">
        <v>48.3</v>
      </c>
    </row>
    <row r="594" spans="1:8" x14ac:dyDescent="0.35">
      <c r="A594">
        <v>592</v>
      </c>
      <c r="B594">
        <f>588</f>
        <v>588</v>
      </c>
      <c r="C594" t="s">
        <v>992</v>
      </c>
      <c r="D594" t="s">
        <v>993</v>
      </c>
      <c r="E594">
        <v>27</v>
      </c>
      <c r="F594">
        <v>16.2</v>
      </c>
      <c r="G594">
        <v>31.4</v>
      </c>
      <c r="H594">
        <v>27.2</v>
      </c>
    </row>
    <row r="595" spans="1:8" x14ac:dyDescent="0.35">
      <c r="A595">
        <v>593</v>
      </c>
      <c r="B595">
        <v>594</v>
      </c>
      <c r="C595" t="s">
        <v>994</v>
      </c>
      <c r="D595" t="s">
        <v>995</v>
      </c>
      <c r="E595">
        <v>65.2</v>
      </c>
      <c r="F595">
        <v>7.6</v>
      </c>
      <c r="G595">
        <v>16.899999999999999</v>
      </c>
      <c r="H595">
        <v>6</v>
      </c>
    </row>
    <row r="596" spans="1:8" x14ac:dyDescent="0.35">
      <c r="A596">
        <v>594</v>
      </c>
      <c r="B596">
        <f>595</f>
        <v>595</v>
      </c>
      <c r="C596" t="s">
        <v>996</v>
      </c>
      <c r="D596" t="s">
        <v>997</v>
      </c>
      <c r="E596">
        <v>10</v>
      </c>
      <c r="F596">
        <v>29.3</v>
      </c>
      <c r="G596">
        <v>16.7</v>
      </c>
      <c r="H596">
        <v>30.5</v>
      </c>
    </row>
    <row r="597" spans="1:8" x14ac:dyDescent="0.35">
      <c r="A597">
        <v>595</v>
      </c>
      <c r="B597">
        <f>595</f>
        <v>595</v>
      </c>
      <c r="C597" t="s">
        <v>998</v>
      </c>
      <c r="D597" t="s">
        <v>325</v>
      </c>
      <c r="E597">
        <v>18.8</v>
      </c>
      <c r="F597">
        <v>13.2</v>
      </c>
      <c r="G597">
        <v>8.8000000000000007</v>
      </c>
      <c r="H597">
        <v>22.2</v>
      </c>
    </row>
    <row r="598" spans="1:8" x14ac:dyDescent="0.35">
      <c r="A598">
        <v>596</v>
      </c>
      <c r="B598">
        <f>597</f>
        <v>597</v>
      </c>
      <c r="C598" t="s">
        <v>999</v>
      </c>
      <c r="D598" t="s">
        <v>1000</v>
      </c>
      <c r="E598">
        <v>16.2</v>
      </c>
      <c r="F598">
        <v>13.4</v>
      </c>
      <c r="G598">
        <v>87.9</v>
      </c>
      <c r="H598">
        <v>10.5</v>
      </c>
    </row>
    <row r="599" spans="1:8" x14ac:dyDescent="0.35">
      <c r="A599">
        <v>597</v>
      </c>
      <c r="B599">
        <f>597</f>
        <v>597</v>
      </c>
      <c r="C599" t="s">
        <v>1001</v>
      </c>
      <c r="D599" t="s">
        <v>1002</v>
      </c>
      <c r="E599">
        <v>23.5</v>
      </c>
      <c r="F599">
        <v>23.3</v>
      </c>
      <c r="G599">
        <v>44.6</v>
      </c>
      <c r="H599">
        <v>12</v>
      </c>
    </row>
    <row r="600" spans="1:8" x14ac:dyDescent="0.35">
      <c r="A600">
        <v>598</v>
      </c>
      <c r="B600">
        <f>597</f>
        <v>597</v>
      </c>
      <c r="C600" t="s">
        <v>1003</v>
      </c>
      <c r="D600" t="s">
        <v>1004</v>
      </c>
      <c r="E600">
        <v>36.799999999999997</v>
      </c>
      <c r="F600">
        <v>22.8</v>
      </c>
      <c r="G600">
        <v>9.6999999999999993</v>
      </c>
      <c r="H600">
        <v>36.200000000000003</v>
      </c>
    </row>
    <row r="601" spans="1:8" x14ac:dyDescent="0.35">
      <c r="A601">
        <v>599</v>
      </c>
      <c r="B601">
        <f>600</f>
        <v>600</v>
      </c>
      <c r="C601" t="s">
        <v>1005</v>
      </c>
      <c r="D601" t="s">
        <v>1006</v>
      </c>
      <c r="E601">
        <v>23.4</v>
      </c>
      <c r="F601">
        <v>29.2</v>
      </c>
      <c r="G601">
        <v>10.9</v>
      </c>
      <c r="H601">
        <v>22.2</v>
      </c>
    </row>
    <row r="602" spans="1:8" x14ac:dyDescent="0.35">
      <c r="A602">
        <v>600</v>
      </c>
      <c r="B602">
        <f>600</f>
        <v>600</v>
      </c>
      <c r="C602" t="s">
        <v>1007</v>
      </c>
      <c r="D602" t="s">
        <v>29</v>
      </c>
      <c r="E602">
        <v>97.4</v>
      </c>
      <c r="F602">
        <v>4.9000000000000004</v>
      </c>
      <c r="G602">
        <v>9.5</v>
      </c>
      <c r="H602">
        <v>12.5</v>
      </c>
    </row>
    <row r="603" spans="1:8" x14ac:dyDescent="0.35">
      <c r="A603">
        <v>601</v>
      </c>
      <c r="B603">
        <f>600</f>
        <v>600</v>
      </c>
      <c r="C603" t="s">
        <v>1008</v>
      </c>
      <c r="D603" t="s">
        <v>1009</v>
      </c>
      <c r="E603">
        <v>12</v>
      </c>
      <c r="F603">
        <v>46.1</v>
      </c>
      <c r="G603">
        <v>16.399999999999999</v>
      </c>
      <c r="H603">
        <v>12</v>
      </c>
    </row>
    <row r="604" spans="1:8" x14ac:dyDescent="0.35">
      <c r="A604">
        <v>602</v>
      </c>
      <c r="B604">
        <f>600</f>
        <v>600</v>
      </c>
      <c r="C604" t="s">
        <v>1010</v>
      </c>
      <c r="D604" t="s">
        <v>76</v>
      </c>
      <c r="E604">
        <v>17.100000000000001</v>
      </c>
      <c r="F604">
        <v>21.4</v>
      </c>
      <c r="G604">
        <v>9</v>
      </c>
      <c r="H604">
        <v>17.7</v>
      </c>
    </row>
    <row r="605" spans="1:8" x14ac:dyDescent="0.35">
      <c r="A605">
        <v>603</v>
      </c>
      <c r="B605">
        <f>600</f>
        <v>600</v>
      </c>
      <c r="C605" t="s">
        <v>1011</v>
      </c>
      <c r="D605" t="s">
        <v>1012</v>
      </c>
      <c r="E605">
        <v>26.3</v>
      </c>
      <c r="F605">
        <v>16.600000000000001</v>
      </c>
      <c r="G605">
        <v>35.5</v>
      </c>
      <c r="H605">
        <v>19.600000000000001</v>
      </c>
    </row>
    <row r="606" spans="1:8" x14ac:dyDescent="0.35">
      <c r="A606">
        <v>604</v>
      </c>
      <c r="B606">
        <f>600</f>
        <v>600</v>
      </c>
      <c r="C606" t="s">
        <v>1013</v>
      </c>
      <c r="D606" t="s">
        <v>1014</v>
      </c>
      <c r="E606">
        <v>7</v>
      </c>
      <c r="F606">
        <v>23.6</v>
      </c>
      <c r="G606">
        <v>42.8</v>
      </c>
      <c r="H606">
        <v>23.9</v>
      </c>
    </row>
    <row r="607" spans="1:8" x14ac:dyDescent="0.35">
      <c r="A607">
        <v>605</v>
      </c>
      <c r="B607">
        <f>600</f>
        <v>600</v>
      </c>
      <c r="C607" t="s">
        <v>1015</v>
      </c>
      <c r="D607" t="s">
        <v>1016</v>
      </c>
      <c r="E607">
        <v>8</v>
      </c>
      <c r="F607">
        <v>28.3</v>
      </c>
      <c r="G607">
        <v>8</v>
      </c>
      <c r="H607">
        <v>50.8</v>
      </c>
    </row>
    <row r="608" spans="1:8" x14ac:dyDescent="0.35">
      <c r="A608">
        <v>606</v>
      </c>
      <c r="B608">
        <f>600</f>
        <v>600</v>
      </c>
      <c r="C608" t="s">
        <v>1017</v>
      </c>
      <c r="D608" t="s">
        <v>1018</v>
      </c>
      <c r="E608">
        <v>41.4</v>
      </c>
      <c r="F608">
        <v>18.2</v>
      </c>
      <c r="G608">
        <v>5.7</v>
      </c>
      <c r="H608">
        <v>14.1</v>
      </c>
    </row>
    <row r="609" spans="1:8" x14ac:dyDescent="0.35">
      <c r="A609">
        <v>607</v>
      </c>
      <c r="B609">
        <f>608</f>
        <v>608</v>
      </c>
      <c r="C609" t="s">
        <v>1019</v>
      </c>
      <c r="D609" t="s">
        <v>1020</v>
      </c>
      <c r="E609">
        <v>33</v>
      </c>
      <c r="F609">
        <v>10.9</v>
      </c>
      <c r="G609">
        <v>40.700000000000003</v>
      </c>
      <c r="H609">
        <v>7.4</v>
      </c>
    </row>
    <row r="610" spans="1:8" x14ac:dyDescent="0.35">
      <c r="A610">
        <v>608</v>
      </c>
      <c r="B610">
        <f>608</f>
        <v>608</v>
      </c>
      <c r="C610" t="s">
        <v>1021</v>
      </c>
      <c r="D610" t="s">
        <v>1022</v>
      </c>
      <c r="E610">
        <v>67.099999999999994</v>
      </c>
      <c r="F610">
        <v>9.1999999999999993</v>
      </c>
      <c r="G610">
        <v>22.2</v>
      </c>
      <c r="H610">
        <v>3.5</v>
      </c>
    </row>
    <row r="611" spans="1:8" x14ac:dyDescent="0.35">
      <c r="A611">
        <v>609</v>
      </c>
      <c r="B611">
        <f>608</f>
        <v>608</v>
      </c>
      <c r="C611" t="s">
        <v>1023</v>
      </c>
      <c r="D611" t="s">
        <v>991</v>
      </c>
      <c r="E611">
        <v>14.2</v>
      </c>
      <c r="F611">
        <v>19.5</v>
      </c>
      <c r="G611">
        <v>30.8</v>
      </c>
      <c r="H611">
        <v>66.900000000000006</v>
      </c>
    </row>
    <row r="612" spans="1:8" x14ac:dyDescent="0.35">
      <c r="A612">
        <v>610</v>
      </c>
      <c r="B612">
        <f>608</f>
        <v>608</v>
      </c>
      <c r="C612" t="s">
        <v>1024</v>
      </c>
      <c r="D612" t="s">
        <v>926</v>
      </c>
      <c r="E612">
        <v>5</v>
      </c>
      <c r="F612" t="s">
        <v>303</v>
      </c>
      <c r="G612" t="s">
        <v>304</v>
      </c>
      <c r="H612">
        <v>3.4</v>
      </c>
    </row>
    <row r="613" spans="1:8" x14ac:dyDescent="0.35">
      <c r="A613">
        <v>611</v>
      </c>
      <c r="B613">
        <v>24.2</v>
      </c>
      <c r="C613">
        <v>60.7</v>
      </c>
      <c r="D613">
        <v>13.3</v>
      </c>
      <c r="E613">
        <v>36.200000000000003</v>
      </c>
      <c r="F613">
        <v>14</v>
      </c>
      <c r="G613">
        <v>94.3</v>
      </c>
      <c r="H613">
        <v>10.9</v>
      </c>
    </row>
    <row r="614" spans="1:8" x14ac:dyDescent="0.35">
      <c r="A614">
        <v>612</v>
      </c>
      <c r="B614">
        <f>613</f>
        <v>613</v>
      </c>
      <c r="C614" t="s">
        <v>1025</v>
      </c>
      <c r="D614" t="s">
        <v>657</v>
      </c>
      <c r="E614">
        <v>3.1</v>
      </c>
      <c r="F614">
        <v>28</v>
      </c>
      <c r="G614">
        <v>18.399999999999999</v>
      </c>
      <c r="H614">
        <v>46.7</v>
      </c>
    </row>
    <row r="615" spans="1:8" x14ac:dyDescent="0.35">
      <c r="A615">
        <v>613</v>
      </c>
      <c r="B615">
        <f>613</f>
        <v>613</v>
      </c>
      <c r="C615" t="s">
        <v>1026</v>
      </c>
      <c r="D615" t="s">
        <v>1027</v>
      </c>
      <c r="E615">
        <v>54</v>
      </c>
      <c r="F615">
        <v>24.7</v>
      </c>
      <c r="G615">
        <v>7.3</v>
      </c>
      <c r="H615">
        <v>7.4</v>
      </c>
    </row>
    <row r="616" spans="1:8" x14ac:dyDescent="0.35">
      <c r="A616">
        <v>614</v>
      </c>
      <c r="B616">
        <f>613</f>
        <v>613</v>
      </c>
      <c r="C616" t="s">
        <v>1028</v>
      </c>
      <c r="D616" t="s">
        <v>606</v>
      </c>
      <c r="E616">
        <v>29</v>
      </c>
      <c r="F616">
        <v>16.899999999999999</v>
      </c>
      <c r="G616">
        <v>76.3</v>
      </c>
      <c r="H616">
        <v>9.3000000000000007</v>
      </c>
    </row>
    <row r="617" spans="1:8" x14ac:dyDescent="0.35">
      <c r="A617">
        <v>615</v>
      </c>
      <c r="B617">
        <f>616</f>
        <v>616</v>
      </c>
      <c r="C617" t="s">
        <v>1029</v>
      </c>
      <c r="D617" t="s">
        <v>1030</v>
      </c>
      <c r="E617">
        <v>11.4</v>
      </c>
      <c r="F617">
        <v>20.7</v>
      </c>
      <c r="G617">
        <v>30.6</v>
      </c>
      <c r="H617">
        <v>24.1</v>
      </c>
    </row>
    <row r="618" spans="1:8" x14ac:dyDescent="0.35">
      <c r="A618">
        <v>616</v>
      </c>
      <c r="B618">
        <f>616</f>
        <v>616</v>
      </c>
      <c r="C618" t="s">
        <v>1031</v>
      </c>
      <c r="D618" t="s">
        <v>304</v>
      </c>
      <c r="E618">
        <v>8.5</v>
      </c>
      <c r="F618">
        <v>18.2</v>
      </c>
      <c r="G618">
        <v>32.200000000000003</v>
      </c>
      <c r="H618">
        <v>20.100000000000001</v>
      </c>
    </row>
    <row r="619" spans="1:8" x14ac:dyDescent="0.35">
      <c r="A619">
        <v>617</v>
      </c>
      <c r="B619">
        <f>616</f>
        <v>616</v>
      </c>
      <c r="C619" t="s">
        <v>1032</v>
      </c>
      <c r="D619" t="s">
        <v>1033</v>
      </c>
      <c r="E619">
        <v>1.9</v>
      </c>
      <c r="F619">
        <v>33.4</v>
      </c>
      <c r="G619">
        <v>25.2</v>
      </c>
      <c r="H619">
        <v>53.5</v>
      </c>
    </row>
    <row r="620" spans="1:8" x14ac:dyDescent="0.35">
      <c r="A620">
        <v>618</v>
      </c>
      <c r="B620">
        <v>619</v>
      </c>
      <c r="C620" t="s">
        <v>1034</v>
      </c>
      <c r="D620" t="s">
        <v>1035</v>
      </c>
      <c r="E620">
        <v>4.3</v>
      </c>
      <c r="F620">
        <v>14.2</v>
      </c>
      <c r="G620">
        <v>78.599999999999994</v>
      </c>
      <c r="H620">
        <v>26.6</v>
      </c>
    </row>
    <row r="621" spans="1:8" x14ac:dyDescent="0.35">
      <c r="A621">
        <v>619</v>
      </c>
      <c r="B621">
        <f>620</f>
        <v>620</v>
      </c>
      <c r="C621" t="s">
        <v>1036</v>
      </c>
      <c r="D621">
        <v>4.2</v>
      </c>
      <c r="E621">
        <v>14.6</v>
      </c>
      <c r="F621">
        <v>20.2</v>
      </c>
      <c r="G621">
        <v>32.700000000000003</v>
      </c>
      <c r="H621">
        <f>620</f>
        <v>620</v>
      </c>
    </row>
    <row r="622" spans="1:8" x14ac:dyDescent="0.35">
      <c r="A622">
        <v>620</v>
      </c>
      <c r="B622" t="s">
        <v>1037</v>
      </c>
      <c r="C622" t="s">
        <v>1038</v>
      </c>
      <c r="D622">
        <v>18.600000000000001</v>
      </c>
      <c r="E622">
        <v>24.5</v>
      </c>
      <c r="F622">
        <v>51.6</v>
      </c>
      <c r="G622">
        <v>12.4</v>
      </c>
      <c r="H622">
        <f>620</f>
        <v>620</v>
      </c>
    </row>
    <row r="623" spans="1:8" x14ac:dyDescent="0.35">
      <c r="A623">
        <v>621</v>
      </c>
      <c r="B623" t="s">
        <v>1039</v>
      </c>
      <c r="C623" t="s">
        <v>72</v>
      </c>
      <c r="D623">
        <v>2.2999999999999998</v>
      </c>
      <c r="E623">
        <v>19.100000000000001</v>
      </c>
      <c r="F623">
        <v>85.1</v>
      </c>
      <c r="G623">
        <v>31</v>
      </c>
      <c r="H623">
        <f>620</f>
        <v>620</v>
      </c>
    </row>
    <row r="624" spans="1:8" x14ac:dyDescent="0.35">
      <c r="A624">
        <v>622</v>
      </c>
      <c r="B624" t="s">
        <v>1040</v>
      </c>
      <c r="C624" t="s">
        <v>49</v>
      </c>
      <c r="D624">
        <v>45.8</v>
      </c>
      <c r="E624">
        <v>15.9</v>
      </c>
      <c r="F624">
        <v>12.1</v>
      </c>
      <c r="G624">
        <v>19.2</v>
      </c>
      <c r="H624">
        <f>620</f>
        <v>620</v>
      </c>
    </row>
    <row r="625" spans="1:8" x14ac:dyDescent="0.35">
      <c r="A625">
        <v>623</v>
      </c>
      <c r="B625" t="s">
        <v>1041</v>
      </c>
      <c r="C625" t="s">
        <v>1042</v>
      </c>
      <c r="D625">
        <v>94.1</v>
      </c>
      <c r="E625">
        <v>7.4</v>
      </c>
      <c r="F625">
        <v>5.0999999999999996</v>
      </c>
      <c r="G625">
        <v>15.8</v>
      </c>
      <c r="H625">
        <f>620</f>
        <v>620</v>
      </c>
    </row>
    <row r="626" spans="1:8" x14ac:dyDescent="0.35">
      <c r="A626">
        <v>624</v>
      </c>
      <c r="B626" t="s">
        <v>1043</v>
      </c>
      <c r="C626" t="s">
        <v>635</v>
      </c>
      <c r="D626">
        <v>12.2</v>
      </c>
      <c r="E626">
        <v>43.3</v>
      </c>
      <c r="F626">
        <v>18</v>
      </c>
      <c r="G626">
        <v>16.899999999999999</v>
      </c>
      <c r="H626">
        <f>626</f>
        <v>626</v>
      </c>
    </row>
    <row r="627" spans="1:8" x14ac:dyDescent="0.35">
      <c r="A627">
        <v>625</v>
      </c>
      <c r="B627" t="s">
        <v>1044</v>
      </c>
      <c r="C627" t="s">
        <v>404</v>
      </c>
      <c r="D627">
        <v>3</v>
      </c>
      <c r="E627">
        <v>27.3</v>
      </c>
      <c r="F627">
        <v>16.600000000000001</v>
      </c>
      <c r="G627">
        <v>42.2</v>
      </c>
      <c r="H627">
        <f>626</f>
        <v>626</v>
      </c>
    </row>
    <row r="628" spans="1:8" x14ac:dyDescent="0.35">
      <c r="A628">
        <v>626</v>
      </c>
      <c r="B628" t="s">
        <v>1045</v>
      </c>
      <c r="C628" t="s">
        <v>214</v>
      </c>
      <c r="D628">
        <v>7.7</v>
      </c>
      <c r="E628">
        <v>7.9</v>
      </c>
      <c r="F628">
        <v>99.2</v>
      </c>
      <c r="G628">
        <v>30.7</v>
      </c>
      <c r="H628">
        <f>626</f>
        <v>626</v>
      </c>
    </row>
    <row r="629" spans="1:8" x14ac:dyDescent="0.35">
      <c r="A629">
        <v>627</v>
      </c>
      <c r="B629" t="s">
        <v>1046</v>
      </c>
      <c r="C629" t="s">
        <v>1047</v>
      </c>
      <c r="D629">
        <v>35.299999999999997</v>
      </c>
      <c r="E629">
        <v>17.7</v>
      </c>
      <c r="F629">
        <v>40.700000000000003</v>
      </c>
      <c r="G629">
        <v>9.4</v>
      </c>
      <c r="H629">
        <f>629</f>
        <v>629</v>
      </c>
    </row>
    <row r="630" spans="1:8" x14ac:dyDescent="0.35">
      <c r="A630">
        <v>628</v>
      </c>
      <c r="B630" t="s">
        <v>1048</v>
      </c>
      <c r="C630" t="s">
        <v>499</v>
      </c>
      <c r="D630">
        <v>4.4000000000000004</v>
      </c>
      <c r="E630">
        <v>28.8</v>
      </c>
      <c r="F630">
        <v>4.4000000000000004</v>
      </c>
      <c r="G630">
        <v>48.3</v>
      </c>
      <c r="H630">
        <f>629</f>
        <v>629</v>
      </c>
    </row>
    <row r="631" spans="1:8" x14ac:dyDescent="0.35">
      <c r="A631">
        <v>629</v>
      </c>
      <c r="B631">
        <f>629</f>
        <v>629</v>
      </c>
      <c r="C631" t="s">
        <v>1049</v>
      </c>
      <c r="D631" t="s">
        <v>1050</v>
      </c>
      <c r="E631">
        <v>89.8</v>
      </c>
      <c r="F631">
        <v>6.1</v>
      </c>
      <c r="G631">
        <v>2</v>
      </c>
      <c r="H631">
        <v>13.5</v>
      </c>
    </row>
    <row r="632" spans="1:8" x14ac:dyDescent="0.35">
      <c r="A632">
        <v>630</v>
      </c>
      <c r="B632">
        <f>629</f>
        <v>629</v>
      </c>
      <c r="C632" t="s">
        <v>1051</v>
      </c>
      <c r="D632" t="s">
        <v>1052</v>
      </c>
      <c r="E632">
        <v>10.3</v>
      </c>
      <c r="F632">
        <v>17.899999999999999</v>
      </c>
      <c r="G632">
        <v>89.1</v>
      </c>
      <c r="H632">
        <v>6.7</v>
      </c>
    </row>
    <row r="633" spans="1:8" x14ac:dyDescent="0.35">
      <c r="A633">
        <v>631</v>
      </c>
      <c r="B633">
        <v>633</v>
      </c>
      <c r="C633" t="s">
        <v>1053</v>
      </c>
      <c r="D633" t="s">
        <v>1054</v>
      </c>
      <c r="E633">
        <v>7.5</v>
      </c>
      <c r="F633">
        <v>23.4</v>
      </c>
      <c r="G633">
        <v>43</v>
      </c>
      <c r="H633">
        <v>23.3</v>
      </c>
    </row>
    <row r="634" spans="1:8" x14ac:dyDescent="0.35">
      <c r="A634">
        <v>632</v>
      </c>
      <c r="B634">
        <f>634</f>
        <v>634</v>
      </c>
      <c r="C634" t="s">
        <v>1055</v>
      </c>
      <c r="D634" t="s">
        <v>327</v>
      </c>
      <c r="E634">
        <v>5</v>
      </c>
      <c r="F634" t="s">
        <v>303</v>
      </c>
      <c r="G634">
        <v>1.3</v>
      </c>
      <c r="H634">
        <v>26.4</v>
      </c>
    </row>
    <row r="635" spans="1:8" x14ac:dyDescent="0.35">
      <c r="A635">
        <v>633</v>
      </c>
      <c r="B635">
        <v>79</v>
      </c>
      <c r="C635">
        <v>34.700000000000003</v>
      </c>
      <c r="D635">
        <f>634</f>
        <v>634</v>
      </c>
      <c r="E635">
        <v>5</v>
      </c>
      <c r="F635" t="s">
        <v>303</v>
      </c>
      <c r="G635">
        <v>1.8</v>
      </c>
      <c r="H635">
        <v>19.899999999999999</v>
      </c>
    </row>
    <row r="636" spans="1:8" x14ac:dyDescent="0.35">
      <c r="A636">
        <v>634</v>
      </c>
      <c r="B636">
        <v>34.5</v>
      </c>
      <c r="C636">
        <v>49.9</v>
      </c>
      <c r="D636">
        <f>634</f>
        <v>634</v>
      </c>
      <c r="E636">
        <v>25.9</v>
      </c>
      <c r="F636">
        <v>26.1</v>
      </c>
      <c r="G636">
        <v>23</v>
      </c>
      <c r="H636">
        <v>29</v>
      </c>
    </row>
    <row r="637" spans="1:8" x14ac:dyDescent="0.35">
      <c r="A637">
        <v>635</v>
      </c>
      <c r="B637">
        <f>634</f>
        <v>634</v>
      </c>
      <c r="C637" t="s">
        <v>1056</v>
      </c>
      <c r="D637" t="s">
        <v>1057</v>
      </c>
      <c r="E637">
        <v>5</v>
      </c>
      <c r="F637" t="s">
        <v>303</v>
      </c>
      <c r="G637" t="s">
        <v>304</v>
      </c>
      <c r="H637">
        <v>54.9</v>
      </c>
    </row>
    <row r="638" spans="1:8" x14ac:dyDescent="0.35">
      <c r="A638">
        <v>636</v>
      </c>
      <c r="B638">
        <v>7.1</v>
      </c>
      <c r="C638">
        <v>3.3</v>
      </c>
      <c r="D638">
        <v>5.7</v>
      </c>
      <c r="E638">
        <v>31</v>
      </c>
      <c r="F638">
        <v>13.6</v>
      </c>
      <c r="G638">
        <v>4.3</v>
      </c>
      <c r="H638">
        <v>54.2</v>
      </c>
    </row>
    <row r="639" spans="1:8" x14ac:dyDescent="0.35">
      <c r="A639">
        <v>637</v>
      </c>
      <c r="B639">
        <f>639</f>
        <v>639</v>
      </c>
      <c r="C639" t="s">
        <v>1058</v>
      </c>
      <c r="D639" t="s">
        <v>1059</v>
      </c>
      <c r="E639">
        <v>44.6</v>
      </c>
      <c r="F639">
        <v>15.6</v>
      </c>
      <c r="G639">
        <v>12.8</v>
      </c>
      <c r="H639">
        <v>34.9</v>
      </c>
    </row>
    <row r="640" spans="1:8" x14ac:dyDescent="0.35">
      <c r="A640">
        <v>638</v>
      </c>
      <c r="B640">
        <f>639</f>
        <v>639</v>
      </c>
      <c r="C640" t="s">
        <v>1060</v>
      </c>
      <c r="D640" t="s">
        <v>1061</v>
      </c>
      <c r="E640">
        <v>19.3</v>
      </c>
      <c r="F640">
        <v>8.6</v>
      </c>
      <c r="G640">
        <v>83.1</v>
      </c>
      <c r="H640">
        <v>5.7</v>
      </c>
    </row>
    <row r="641" spans="1:8" x14ac:dyDescent="0.35">
      <c r="A641">
        <v>639</v>
      </c>
      <c r="B641">
        <f>639</f>
        <v>639</v>
      </c>
      <c r="C641" t="s">
        <v>1062</v>
      </c>
      <c r="D641" t="s">
        <v>214</v>
      </c>
      <c r="E641">
        <v>1.6</v>
      </c>
      <c r="F641">
        <v>9</v>
      </c>
      <c r="G641">
        <v>100</v>
      </c>
      <c r="H641">
        <v>50.6</v>
      </c>
    </row>
    <row r="642" spans="1:8" x14ac:dyDescent="0.35">
      <c r="A642">
        <v>640</v>
      </c>
      <c r="B642">
        <f>639</f>
        <v>639</v>
      </c>
      <c r="C642" t="s">
        <v>1063</v>
      </c>
      <c r="D642" t="s">
        <v>181</v>
      </c>
      <c r="E642">
        <v>5</v>
      </c>
      <c r="F642" t="s">
        <v>303</v>
      </c>
      <c r="G642">
        <v>11.7</v>
      </c>
      <c r="H642">
        <v>17.3</v>
      </c>
    </row>
    <row r="643" spans="1:8" x14ac:dyDescent="0.35">
      <c r="A643">
        <v>641</v>
      </c>
      <c r="B643">
        <v>12.7</v>
      </c>
      <c r="C643">
        <v>21.8</v>
      </c>
      <c r="D643">
        <f>643</f>
        <v>643</v>
      </c>
      <c r="E643">
        <v>5</v>
      </c>
      <c r="F643" t="s">
        <v>303</v>
      </c>
      <c r="G643" t="s">
        <v>304</v>
      </c>
      <c r="H643">
        <v>10.1</v>
      </c>
    </row>
    <row r="644" spans="1:8" x14ac:dyDescent="0.35">
      <c r="A644">
        <v>642</v>
      </c>
      <c r="B644">
        <v>19.2</v>
      </c>
      <c r="C644">
        <v>16.3</v>
      </c>
      <c r="D644">
        <v>23.5</v>
      </c>
      <c r="E644">
        <v>4.0999999999999996</v>
      </c>
      <c r="F644">
        <v>12.3</v>
      </c>
      <c r="G644">
        <v>43.1</v>
      </c>
      <c r="H644">
        <v>65.099999999999994</v>
      </c>
    </row>
    <row r="645" spans="1:8" x14ac:dyDescent="0.35">
      <c r="A645">
        <v>643</v>
      </c>
      <c r="B645">
        <f>643</f>
        <v>643</v>
      </c>
      <c r="C645" t="s">
        <v>1064</v>
      </c>
      <c r="D645" t="s">
        <v>1065</v>
      </c>
      <c r="E645">
        <v>37.799999999999997</v>
      </c>
      <c r="F645">
        <v>20.100000000000001</v>
      </c>
      <c r="G645">
        <v>33.200000000000003</v>
      </c>
      <c r="H645">
        <v>5.9</v>
      </c>
    </row>
    <row r="646" spans="1:8" x14ac:dyDescent="0.35">
      <c r="A646">
        <v>644</v>
      </c>
      <c r="B646">
        <f>646</f>
        <v>646</v>
      </c>
      <c r="C646" t="s">
        <v>1066</v>
      </c>
      <c r="D646" t="s">
        <v>515</v>
      </c>
      <c r="E646">
        <v>7.2</v>
      </c>
      <c r="F646">
        <v>18.5</v>
      </c>
      <c r="G646">
        <v>43.4</v>
      </c>
      <c r="H646">
        <v>41.1</v>
      </c>
    </row>
    <row r="647" spans="1:8" x14ac:dyDescent="0.35">
      <c r="A647">
        <v>645</v>
      </c>
      <c r="B647">
        <f>646</f>
        <v>646</v>
      </c>
      <c r="C647" t="s">
        <v>1067</v>
      </c>
      <c r="D647" t="s">
        <v>1068</v>
      </c>
      <c r="E647">
        <v>88.8</v>
      </c>
      <c r="F647">
        <v>6.9</v>
      </c>
      <c r="G647">
        <v>8.9</v>
      </c>
      <c r="H647">
        <v>6.3</v>
      </c>
    </row>
    <row r="648" spans="1:8" x14ac:dyDescent="0.35">
      <c r="A648">
        <v>646</v>
      </c>
      <c r="B648">
        <f>646</f>
        <v>646</v>
      </c>
      <c r="C648" t="s">
        <v>1069</v>
      </c>
      <c r="D648" t="s">
        <v>1070</v>
      </c>
      <c r="E648">
        <v>11.3</v>
      </c>
      <c r="F648">
        <v>6.3</v>
      </c>
      <c r="G648">
        <v>88.7</v>
      </c>
      <c r="H648">
        <v>5</v>
      </c>
    </row>
    <row r="649" spans="1:8" x14ac:dyDescent="0.35">
      <c r="A649">
        <v>647</v>
      </c>
      <c r="B649">
        <f>649</f>
        <v>649</v>
      </c>
      <c r="C649" t="s">
        <v>1071</v>
      </c>
      <c r="D649" t="s">
        <v>1072</v>
      </c>
      <c r="E649">
        <v>88.2</v>
      </c>
      <c r="F649">
        <v>8.6</v>
      </c>
      <c r="G649">
        <v>5.0999999999999996</v>
      </c>
      <c r="H649">
        <v>2.7</v>
      </c>
    </row>
    <row r="650" spans="1:8" x14ac:dyDescent="0.35">
      <c r="A650">
        <v>648</v>
      </c>
      <c r="B650">
        <f>649</f>
        <v>649</v>
      </c>
      <c r="C650" t="s">
        <v>1073</v>
      </c>
      <c r="D650" t="s">
        <v>29</v>
      </c>
      <c r="E650">
        <v>82.7</v>
      </c>
      <c r="F650">
        <v>7.6</v>
      </c>
      <c r="G650">
        <v>26.3</v>
      </c>
      <c r="H650">
        <v>13.1</v>
      </c>
    </row>
    <row r="651" spans="1:8" x14ac:dyDescent="0.35">
      <c r="A651">
        <v>649</v>
      </c>
      <c r="B651">
        <f>649</f>
        <v>649</v>
      </c>
      <c r="C651" t="s">
        <v>1074</v>
      </c>
      <c r="D651" t="s">
        <v>1075</v>
      </c>
      <c r="E651">
        <v>63.5</v>
      </c>
      <c r="F651">
        <v>21.2</v>
      </c>
      <c r="G651">
        <v>3.7</v>
      </c>
      <c r="H651">
        <v>16.100000000000001</v>
      </c>
    </row>
    <row r="652" spans="1:8" x14ac:dyDescent="0.35">
      <c r="A652">
        <v>650</v>
      </c>
      <c r="B652">
        <f>652</f>
        <v>652</v>
      </c>
      <c r="C652" t="s">
        <v>1076</v>
      </c>
      <c r="D652" t="s">
        <v>1077</v>
      </c>
      <c r="E652">
        <v>36.4</v>
      </c>
      <c r="F652">
        <v>10.5</v>
      </c>
      <c r="G652">
        <v>94.1</v>
      </c>
      <c r="H652">
        <v>11.5</v>
      </c>
    </row>
    <row r="653" spans="1:8" x14ac:dyDescent="0.35">
      <c r="A653">
        <v>651</v>
      </c>
      <c r="B653">
        <f>652</f>
        <v>652</v>
      </c>
      <c r="C653" t="s">
        <v>1078</v>
      </c>
      <c r="D653" t="s">
        <v>1079</v>
      </c>
      <c r="E653">
        <v>2.1</v>
      </c>
      <c r="F653">
        <v>43.2</v>
      </c>
      <c r="G653">
        <v>16.399999999999999</v>
      </c>
      <c r="H653">
        <v>21.7</v>
      </c>
    </row>
    <row r="654" spans="1:8" x14ac:dyDescent="0.35">
      <c r="A654">
        <v>652</v>
      </c>
      <c r="B654">
        <f>652</f>
        <v>652</v>
      </c>
      <c r="C654" t="s">
        <v>1080</v>
      </c>
      <c r="D654" t="s">
        <v>487</v>
      </c>
      <c r="E654">
        <v>16.399999999999999</v>
      </c>
      <c r="F654">
        <v>6.9</v>
      </c>
      <c r="G654">
        <v>99.7</v>
      </c>
      <c r="H654">
        <v>15.1</v>
      </c>
    </row>
    <row r="655" spans="1:8" x14ac:dyDescent="0.35">
      <c r="A655">
        <v>653</v>
      </c>
      <c r="B655">
        <f>655</f>
        <v>655</v>
      </c>
      <c r="C655" t="s">
        <v>1081</v>
      </c>
      <c r="D655" t="s">
        <v>1082</v>
      </c>
      <c r="E655">
        <v>5.6</v>
      </c>
      <c r="F655">
        <v>20.8</v>
      </c>
      <c r="G655">
        <v>49.1</v>
      </c>
      <c r="H655">
        <v>18.7</v>
      </c>
    </row>
    <row r="656" spans="1:8" x14ac:dyDescent="0.35">
      <c r="A656">
        <v>654</v>
      </c>
      <c r="B656">
        <f>655</f>
        <v>655</v>
      </c>
      <c r="C656" t="s">
        <v>1083</v>
      </c>
      <c r="D656" t="s">
        <v>1084</v>
      </c>
      <c r="E656">
        <v>3.9</v>
      </c>
      <c r="F656">
        <v>11.4</v>
      </c>
      <c r="G656">
        <v>24.2</v>
      </c>
      <c r="H656">
        <v>86</v>
      </c>
    </row>
    <row r="657" spans="1:8" x14ac:dyDescent="0.35">
      <c r="A657">
        <v>655</v>
      </c>
      <c r="B657">
        <f>655</f>
        <v>655</v>
      </c>
      <c r="C657" t="s">
        <v>1085</v>
      </c>
      <c r="D657" t="s">
        <v>222</v>
      </c>
      <c r="E657">
        <v>7.4</v>
      </c>
      <c r="F657">
        <v>25</v>
      </c>
      <c r="G657">
        <v>6.6</v>
      </c>
      <c r="H657">
        <v>51.6</v>
      </c>
    </row>
    <row r="658" spans="1:8" x14ac:dyDescent="0.35">
      <c r="A658">
        <v>656</v>
      </c>
      <c r="B658">
        <f>655</f>
        <v>655</v>
      </c>
      <c r="C658" t="s">
        <v>1086</v>
      </c>
      <c r="D658" t="s">
        <v>1087</v>
      </c>
      <c r="E658">
        <v>8.6</v>
      </c>
      <c r="F658">
        <v>18.5</v>
      </c>
      <c r="G658">
        <v>45.1</v>
      </c>
      <c r="H658">
        <v>10.9</v>
      </c>
    </row>
    <row r="659" spans="1:8" x14ac:dyDescent="0.35">
      <c r="A659">
        <v>657</v>
      </c>
      <c r="B659">
        <f>659</f>
        <v>659</v>
      </c>
      <c r="C659" t="s">
        <v>1088</v>
      </c>
      <c r="D659" t="s">
        <v>1089</v>
      </c>
      <c r="E659">
        <v>86.1</v>
      </c>
      <c r="F659">
        <v>4.4000000000000004</v>
      </c>
      <c r="G659">
        <v>23.4</v>
      </c>
      <c r="H659">
        <v>11.3</v>
      </c>
    </row>
    <row r="660" spans="1:8" x14ac:dyDescent="0.35">
      <c r="A660">
        <v>658</v>
      </c>
      <c r="B660">
        <f>659</f>
        <v>659</v>
      </c>
      <c r="C660" t="s">
        <v>1090</v>
      </c>
      <c r="D660" t="s">
        <v>596</v>
      </c>
      <c r="E660">
        <v>15.2</v>
      </c>
      <c r="F660">
        <v>23</v>
      </c>
      <c r="G660">
        <v>17.5</v>
      </c>
      <c r="H660">
        <v>31.1</v>
      </c>
    </row>
    <row r="661" spans="1:8" x14ac:dyDescent="0.35">
      <c r="A661">
        <v>659</v>
      </c>
      <c r="B661">
        <f>659</f>
        <v>659</v>
      </c>
      <c r="C661" t="s">
        <v>1091</v>
      </c>
      <c r="D661" t="s">
        <v>1092</v>
      </c>
      <c r="E661">
        <v>23.6</v>
      </c>
      <c r="F661">
        <v>26.5</v>
      </c>
      <c r="G661">
        <v>26</v>
      </c>
      <c r="H661">
        <v>35.1</v>
      </c>
    </row>
    <row r="662" spans="1:8" x14ac:dyDescent="0.35">
      <c r="A662">
        <v>660</v>
      </c>
      <c r="B662">
        <f>662</f>
        <v>662</v>
      </c>
      <c r="C662" t="s">
        <v>1093</v>
      </c>
      <c r="D662" t="s">
        <v>1094</v>
      </c>
      <c r="E662">
        <v>56.1</v>
      </c>
      <c r="F662">
        <v>9.1999999999999993</v>
      </c>
      <c r="G662">
        <v>72.400000000000006</v>
      </c>
      <c r="H662">
        <v>8.9</v>
      </c>
    </row>
    <row r="663" spans="1:8" x14ac:dyDescent="0.35">
      <c r="A663">
        <v>661</v>
      </c>
      <c r="B663">
        <f>662</f>
        <v>662</v>
      </c>
      <c r="C663" t="s">
        <v>1095</v>
      </c>
      <c r="D663" t="s">
        <v>1096</v>
      </c>
      <c r="E663">
        <v>6.4</v>
      </c>
      <c r="F663">
        <v>16.7</v>
      </c>
      <c r="G663">
        <v>56.2</v>
      </c>
      <c r="H663">
        <v>17.899999999999999</v>
      </c>
    </row>
    <row r="664" spans="1:8" x14ac:dyDescent="0.35">
      <c r="A664">
        <v>662</v>
      </c>
      <c r="B664">
        <f>662</f>
        <v>662</v>
      </c>
      <c r="C664" t="s">
        <v>1097</v>
      </c>
      <c r="D664" t="s">
        <v>1098</v>
      </c>
      <c r="E664">
        <v>2.2999999999999998</v>
      </c>
      <c r="F664">
        <v>30.7</v>
      </c>
      <c r="G664">
        <v>34.5</v>
      </c>
      <c r="H664">
        <v>42.1</v>
      </c>
    </row>
    <row r="665" spans="1:8" x14ac:dyDescent="0.35">
      <c r="A665">
        <v>663</v>
      </c>
      <c r="B665">
        <f>662</f>
        <v>662</v>
      </c>
      <c r="C665" t="s">
        <v>1099</v>
      </c>
      <c r="D665" t="s">
        <v>1100</v>
      </c>
      <c r="E665">
        <v>10.4</v>
      </c>
      <c r="F665">
        <v>38.4</v>
      </c>
      <c r="G665">
        <v>18.399999999999999</v>
      </c>
      <c r="H665">
        <v>26.6</v>
      </c>
    </row>
    <row r="666" spans="1:8" x14ac:dyDescent="0.35">
      <c r="A666">
        <v>664</v>
      </c>
      <c r="B666">
        <f>662</f>
        <v>662</v>
      </c>
      <c r="C666" t="s">
        <v>1101</v>
      </c>
      <c r="D666" t="s">
        <v>1102</v>
      </c>
      <c r="E666">
        <v>66</v>
      </c>
      <c r="F666">
        <v>10.4</v>
      </c>
      <c r="G666">
        <v>13.8</v>
      </c>
      <c r="H666">
        <v>9.8000000000000007</v>
      </c>
    </row>
    <row r="667" spans="1:8" x14ac:dyDescent="0.35">
      <c r="A667">
        <v>665</v>
      </c>
      <c r="B667">
        <f>662</f>
        <v>662</v>
      </c>
      <c r="C667" t="s">
        <v>1103</v>
      </c>
      <c r="D667" t="s">
        <v>1104</v>
      </c>
      <c r="E667">
        <v>5</v>
      </c>
      <c r="F667" t="s">
        <v>303</v>
      </c>
      <c r="G667">
        <v>25.6</v>
      </c>
      <c r="H667">
        <v>10.6</v>
      </c>
    </row>
    <row r="668" spans="1:8" x14ac:dyDescent="0.35">
      <c r="A668">
        <v>666</v>
      </c>
      <c r="B668">
        <v>10.6</v>
      </c>
      <c r="C668">
        <v>12.9</v>
      </c>
      <c r="D668">
        <v>668</v>
      </c>
      <c r="E668">
        <v>82.3</v>
      </c>
      <c r="F668">
        <v>5.5</v>
      </c>
      <c r="G668">
        <v>2.5</v>
      </c>
      <c r="H668">
        <v>31.8</v>
      </c>
    </row>
    <row r="669" spans="1:8" x14ac:dyDescent="0.35">
      <c r="A669">
        <v>667</v>
      </c>
      <c r="B669">
        <v>669</v>
      </c>
      <c r="C669" t="s">
        <v>1105</v>
      </c>
      <c r="D669" t="s">
        <v>63</v>
      </c>
      <c r="E669">
        <v>43.2</v>
      </c>
      <c r="F669">
        <v>14.9</v>
      </c>
      <c r="G669">
        <v>1.9</v>
      </c>
      <c r="H669">
        <v>22.9</v>
      </c>
    </row>
    <row r="670" spans="1:8" x14ac:dyDescent="0.35">
      <c r="A670">
        <v>668</v>
      </c>
      <c r="B670">
        <f>670</f>
        <v>670</v>
      </c>
      <c r="C670" t="s">
        <v>1106</v>
      </c>
      <c r="D670" t="s">
        <v>689</v>
      </c>
      <c r="E670">
        <v>48.1</v>
      </c>
      <c r="F670">
        <v>10.5</v>
      </c>
      <c r="G670">
        <v>20.100000000000001</v>
      </c>
      <c r="H670">
        <v>8.9</v>
      </c>
    </row>
    <row r="671" spans="1:8" x14ac:dyDescent="0.35">
      <c r="A671">
        <v>669</v>
      </c>
      <c r="B671">
        <f>670</f>
        <v>670</v>
      </c>
      <c r="C671" t="s">
        <v>1107</v>
      </c>
      <c r="D671" t="s">
        <v>404</v>
      </c>
      <c r="E671">
        <v>8.8000000000000007</v>
      </c>
      <c r="F671">
        <v>16.100000000000001</v>
      </c>
      <c r="G671">
        <v>30.8</v>
      </c>
      <c r="H671">
        <v>14.3</v>
      </c>
    </row>
    <row r="672" spans="1:8" x14ac:dyDescent="0.35">
      <c r="A672">
        <v>670</v>
      </c>
      <c r="B672">
        <f>670</f>
        <v>670</v>
      </c>
      <c r="C672" t="s">
        <v>1108</v>
      </c>
      <c r="D672" t="s">
        <v>53</v>
      </c>
      <c r="E672">
        <v>74.7</v>
      </c>
      <c r="F672">
        <v>11.4</v>
      </c>
      <c r="G672">
        <v>13.8</v>
      </c>
      <c r="H672">
        <v>17.5</v>
      </c>
    </row>
    <row r="673" spans="1:8" x14ac:dyDescent="0.35">
      <c r="A673">
        <v>671</v>
      </c>
      <c r="B673">
        <f>670</f>
        <v>670</v>
      </c>
      <c r="C673" t="s">
        <v>1109</v>
      </c>
      <c r="D673" t="s">
        <v>1110</v>
      </c>
      <c r="E673">
        <v>33</v>
      </c>
      <c r="F673">
        <v>8.5</v>
      </c>
      <c r="G673">
        <v>29.8</v>
      </c>
      <c r="H673">
        <v>8.9</v>
      </c>
    </row>
    <row r="674" spans="1:8" x14ac:dyDescent="0.35">
      <c r="A674">
        <v>672</v>
      </c>
      <c r="B674">
        <f>670</f>
        <v>670</v>
      </c>
      <c r="C674" t="s">
        <v>1111</v>
      </c>
      <c r="D674" t="s">
        <v>1112</v>
      </c>
      <c r="E674">
        <v>18.7</v>
      </c>
      <c r="F674">
        <v>15.5</v>
      </c>
      <c r="G674">
        <v>16.7</v>
      </c>
      <c r="H674">
        <v>6.9</v>
      </c>
    </row>
    <row r="675" spans="1:8" x14ac:dyDescent="0.35">
      <c r="A675">
        <v>673</v>
      </c>
      <c r="B675">
        <f>675</f>
        <v>675</v>
      </c>
      <c r="C675" t="s">
        <v>1113</v>
      </c>
      <c r="D675" t="s">
        <v>166</v>
      </c>
      <c r="E675">
        <v>78.3</v>
      </c>
      <c r="F675">
        <v>9.1999999999999993</v>
      </c>
      <c r="G675">
        <v>15.3</v>
      </c>
      <c r="H675">
        <v>15</v>
      </c>
    </row>
    <row r="676" spans="1:8" x14ac:dyDescent="0.35">
      <c r="A676">
        <v>674</v>
      </c>
      <c r="B676">
        <f>675</f>
        <v>675</v>
      </c>
      <c r="C676" t="s">
        <v>1114</v>
      </c>
      <c r="D676" t="s">
        <v>1115</v>
      </c>
      <c r="E676">
        <v>56.2</v>
      </c>
      <c r="F676">
        <v>4.3</v>
      </c>
      <c r="G676">
        <v>8.4</v>
      </c>
      <c r="H676">
        <v>13.7</v>
      </c>
    </row>
    <row r="677" spans="1:8" x14ac:dyDescent="0.35">
      <c r="A677">
        <v>675</v>
      </c>
      <c r="B677">
        <f>677</f>
        <v>677</v>
      </c>
      <c r="C677" t="s">
        <v>1116</v>
      </c>
      <c r="D677" t="s">
        <v>306</v>
      </c>
      <c r="E677">
        <v>60.7</v>
      </c>
      <c r="F677">
        <v>8.6</v>
      </c>
      <c r="G677">
        <v>47.3</v>
      </c>
      <c r="H677">
        <v>10.7</v>
      </c>
    </row>
    <row r="678" spans="1:8" x14ac:dyDescent="0.35">
      <c r="A678">
        <v>676</v>
      </c>
      <c r="B678">
        <f>677</f>
        <v>677</v>
      </c>
      <c r="C678" t="s">
        <v>1117</v>
      </c>
      <c r="D678" t="s">
        <v>81</v>
      </c>
      <c r="E678">
        <v>4.4000000000000004</v>
      </c>
      <c r="F678">
        <v>28.6</v>
      </c>
      <c r="G678">
        <v>18</v>
      </c>
      <c r="H678">
        <v>46.3</v>
      </c>
    </row>
    <row r="679" spans="1:8" x14ac:dyDescent="0.35">
      <c r="A679">
        <v>677</v>
      </c>
      <c r="B679">
        <f>677</f>
        <v>677</v>
      </c>
      <c r="C679" t="s">
        <v>1118</v>
      </c>
      <c r="D679" t="s">
        <v>1119</v>
      </c>
      <c r="E679">
        <v>24.3</v>
      </c>
      <c r="F679">
        <v>18.2</v>
      </c>
      <c r="G679">
        <v>77.400000000000006</v>
      </c>
      <c r="H679">
        <v>12.4</v>
      </c>
    </row>
    <row r="680" spans="1:8" x14ac:dyDescent="0.35">
      <c r="A680">
        <v>678</v>
      </c>
      <c r="B680">
        <f>677</f>
        <v>677</v>
      </c>
      <c r="C680" t="s">
        <v>1120</v>
      </c>
      <c r="D680" t="s">
        <v>1121</v>
      </c>
      <c r="E680">
        <v>25.3</v>
      </c>
      <c r="F680">
        <v>6.5</v>
      </c>
      <c r="G680">
        <v>64.900000000000006</v>
      </c>
      <c r="H680">
        <v>5.0999999999999996</v>
      </c>
    </row>
    <row r="681" spans="1:8" x14ac:dyDescent="0.35">
      <c r="A681">
        <v>679</v>
      </c>
      <c r="B681">
        <f>677</f>
        <v>677</v>
      </c>
      <c r="C681" t="s">
        <v>1122</v>
      </c>
      <c r="D681" t="s">
        <v>1123</v>
      </c>
      <c r="E681">
        <v>5</v>
      </c>
      <c r="F681" t="s">
        <v>303</v>
      </c>
      <c r="G681">
        <v>40.200000000000003</v>
      </c>
      <c r="H681">
        <v>7.5</v>
      </c>
    </row>
    <row r="682" spans="1:8" x14ac:dyDescent="0.35">
      <c r="A682">
        <v>680</v>
      </c>
      <c r="B682">
        <v>17.399999999999999</v>
      </c>
      <c r="C682">
        <v>10.8</v>
      </c>
      <c r="D682">
        <f>677</f>
        <v>677</v>
      </c>
      <c r="E682">
        <v>24.7</v>
      </c>
      <c r="F682">
        <v>29.2</v>
      </c>
      <c r="G682">
        <v>31.1</v>
      </c>
      <c r="H682">
        <v>11.6</v>
      </c>
    </row>
    <row r="683" spans="1:8" x14ac:dyDescent="0.35">
      <c r="A683">
        <v>681</v>
      </c>
      <c r="B683">
        <f>683</f>
        <v>683</v>
      </c>
      <c r="C683" t="s">
        <v>1124</v>
      </c>
      <c r="D683" t="s">
        <v>72</v>
      </c>
      <c r="E683">
        <v>33</v>
      </c>
      <c r="F683">
        <v>11.1</v>
      </c>
      <c r="G683">
        <v>54</v>
      </c>
      <c r="H683">
        <v>14.2</v>
      </c>
    </row>
    <row r="684" spans="1:8" x14ac:dyDescent="0.35">
      <c r="A684">
        <v>682</v>
      </c>
      <c r="B684">
        <f>683</f>
        <v>683</v>
      </c>
      <c r="C684" t="s">
        <v>1125</v>
      </c>
      <c r="D684" t="s">
        <v>117</v>
      </c>
      <c r="E684">
        <v>4</v>
      </c>
      <c r="F684">
        <v>28.5</v>
      </c>
      <c r="G684">
        <v>9.1999999999999993</v>
      </c>
      <c r="H684">
        <v>61.5</v>
      </c>
    </row>
    <row r="685" spans="1:8" x14ac:dyDescent="0.35">
      <c r="A685">
        <v>683</v>
      </c>
      <c r="B685">
        <f>683</f>
        <v>683</v>
      </c>
      <c r="C685" t="s">
        <v>1126</v>
      </c>
      <c r="D685" t="s">
        <v>1127</v>
      </c>
      <c r="E685">
        <v>18.899999999999999</v>
      </c>
      <c r="F685">
        <v>7.1</v>
      </c>
      <c r="G685">
        <v>48.2</v>
      </c>
      <c r="H685">
        <v>5.8</v>
      </c>
    </row>
    <row r="686" spans="1:8" x14ac:dyDescent="0.35">
      <c r="A686">
        <v>684</v>
      </c>
      <c r="B686">
        <f>686</f>
        <v>686</v>
      </c>
      <c r="C686" t="s">
        <v>1128</v>
      </c>
      <c r="D686" t="s">
        <v>218</v>
      </c>
      <c r="E686">
        <v>56.7</v>
      </c>
      <c r="F686">
        <v>15.2</v>
      </c>
      <c r="G686">
        <v>32.9</v>
      </c>
      <c r="H686">
        <v>6.4</v>
      </c>
    </row>
    <row r="687" spans="1:8" x14ac:dyDescent="0.35">
      <c r="A687">
        <v>685</v>
      </c>
      <c r="B687">
        <f>686</f>
        <v>686</v>
      </c>
      <c r="C687" t="s">
        <v>1129</v>
      </c>
      <c r="D687" t="s">
        <v>1130</v>
      </c>
      <c r="E687">
        <v>10.9</v>
      </c>
      <c r="F687">
        <v>18.7</v>
      </c>
      <c r="G687">
        <v>7.1</v>
      </c>
      <c r="H687">
        <v>24.3</v>
      </c>
    </row>
    <row r="688" spans="1:8" x14ac:dyDescent="0.35">
      <c r="A688">
        <v>686</v>
      </c>
      <c r="B688">
        <f>686</f>
        <v>686</v>
      </c>
      <c r="C688" t="s">
        <v>1131</v>
      </c>
      <c r="D688" t="s">
        <v>1132</v>
      </c>
      <c r="E688">
        <v>26.2</v>
      </c>
      <c r="F688">
        <v>33.700000000000003</v>
      </c>
      <c r="G688">
        <v>4.7</v>
      </c>
      <c r="H688">
        <v>10.4</v>
      </c>
    </row>
    <row r="689" spans="1:8" x14ac:dyDescent="0.35">
      <c r="A689">
        <v>687</v>
      </c>
      <c r="B689">
        <f>686</f>
        <v>686</v>
      </c>
      <c r="C689" t="s">
        <v>1133</v>
      </c>
      <c r="D689" t="s">
        <v>1134</v>
      </c>
      <c r="E689">
        <v>80.099999999999994</v>
      </c>
      <c r="F689">
        <v>9.1999999999999993</v>
      </c>
      <c r="G689">
        <v>2.9</v>
      </c>
      <c r="H689">
        <v>7.9</v>
      </c>
    </row>
    <row r="690" spans="1:8" x14ac:dyDescent="0.35">
      <c r="A690">
        <v>688</v>
      </c>
      <c r="B690">
        <f>686</f>
        <v>686</v>
      </c>
      <c r="C690" t="s">
        <v>1135</v>
      </c>
      <c r="D690" t="s">
        <v>1136</v>
      </c>
      <c r="E690">
        <v>34.4</v>
      </c>
      <c r="F690">
        <v>19.100000000000001</v>
      </c>
      <c r="G690">
        <v>5.5</v>
      </c>
      <c r="H690">
        <v>27.6</v>
      </c>
    </row>
    <row r="691" spans="1:8" x14ac:dyDescent="0.35">
      <c r="A691">
        <v>689</v>
      </c>
      <c r="B691">
        <f>691</f>
        <v>691</v>
      </c>
      <c r="C691" t="s">
        <v>1137</v>
      </c>
      <c r="D691" t="s">
        <v>1138</v>
      </c>
      <c r="E691">
        <v>4</v>
      </c>
      <c r="F691" t="s">
        <v>303</v>
      </c>
      <c r="G691">
        <v>26.9</v>
      </c>
      <c r="H691">
        <v>8.1999999999999993</v>
      </c>
    </row>
    <row r="692" spans="1:8" x14ac:dyDescent="0.35">
      <c r="A692">
        <v>690</v>
      </c>
      <c r="B692">
        <v>5.4</v>
      </c>
      <c r="C692">
        <v>5.9</v>
      </c>
      <c r="D692">
        <f>691</f>
        <v>691</v>
      </c>
      <c r="E692">
        <v>77.8</v>
      </c>
      <c r="F692">
        <v>5.4</v>
      </c>
      <c r="G692">
        <v>7.7</v>
      </c>
      <c r="H692">
        <v>7.9</v>
      </c>
    </row>
    <row r="693" spans="1:8" x14ac:dyDescent="0.35">
      <c r="A693">
        <v>691</v>
      </c>
      <c r="B693">
        <f>691</f>
        <v>691</v>
      </c>
      <c r="C693" t="s">
        <v>1139</v>
      </c>
      <c r="D693" t="s">
        <v>104</v>
      </c>
      <c r="E693">
        <v>6.5</v>
      </c>
      <c r="F693">
        <v>32.700000000000003</v>
      </c>
      <c r="G693">
        <v>19.2</v>
      </c>
      <c r="H693">
        <v>23.6</v>
      </c>
    </row>
    <row r="694" spans="1:8" x14ac:dyDescent="0.35">
      <c r="A694">
        <v>692</v>
      </c>
      <c r="B694">
        <f>691</f>
        <v>691</v>
      </c>
      <c r="C694" t="s">
        <v>1140</v>
      </c>
      <c r="D694" t="s">
        <v>1141</v>
      </c>
      <c r="E694">
        <v>10</v>
      </c>
      <c r="F694">
        <v>18.7</v>
      </c>
      <c r="G694">
        <v>48.2</v>
      </c>
      <c r="H694">
        <v>29.1</v>
      </c>
    </row>
    <row r="695" spans="1:8" x14ac:dyDescent="0.35">
      <c r="A695">
        <v>693</v>
      </c>
      <c r="B695">
        <f>691</f>
        <v>691</v>
      </c>
      <c r="C695" t="s">
        <v>1142</v>
      </c>
      <c r="D695" t="s">
        <v>1143</v>
      </c>
      <c r="E695">
        <v>28.7</v>
      </c>
      <c r="F695">
        <v>13.4</v>
      </c>
      <c r="G695">
        <v>13.8</v>
      </c>
      <c r="H695">
        <v>12</v>
      </c>
    </row>
    <row r="696" spans="1:8" x14ac:dyDescent="0.35">
      <c r="A696">
        <v>694</v>
      </c>
      <c r="B696">
        <f>696</f>
        <v>696</v>
      </c>
      <c r="C696" t="s">
        <v>1144</v>
      </c>
      <c r="D696" t="s">
        <v>1145</v>
      </c>
      <c r="E696">
        <v>15.7</v>
      </c>
      <c r="F696">
        <v>25.7</v>
      </c>
      <c r="G696">
        <v>14.9</v>
      </c>
      <c r="H696">
        <v>13.6</v>
      </c>
    </row>
    <row r="697" spans="1:8" x14ac:dyDescent="0.35">
      <c r="A697">
        <v>695</v>
      </c>
      <c r="B697">
        <f>696</f>
        <v>696</v>
      </c>
      <c r="C697" t="s">
        <v>1146</v>
      </c>
      <c r="D697" t="s">
        <v>1147</v>
      </c>
      <c r="E697">
        <v>21.2</v>
      </c>
      <c r="F697">
        <v>14.5</v>
      </c>
      <c r="G697">
        <v>30</v>
      </c>
      <c r="H697">
        <v>26.9</v>
      </c>
    </row>
    <row r="698" spans="1:8" x14ac:dyDescent="0.35">
      <c r="A698">
        <v>696</v>
      </c>
      <c r="B698">
        <f>696</f>
        <v>696</v>
      </c>
      <c r="C698" t="s">
        <v>1148</v>
      </c>
      <c r="D698" t="s">
        <v>1149</v>
      </c>
      <c r="E698">
        <v>14.8</v>
      </c>
      <c r="F698">
        <v>16.8</v>
      </c>
      <c r="G698">
        <v>67.5</v>
      </c>
      <c r="H698">
        <v>11.8</v>
      </c>
    </row>
    <row r="699" spans="1:8" x14ac:dyDescent="0.35">
      <c r="A699">
        <v>697</v>
      </c>
      <c r="B699">
        <f>696</f>
        <v>696</v>
      </c>
      <c r="C699" t="s">
        <v>1150</v>
      </c>
      <c r="D699" t="s">
        <v>1151</v>
      </c>
      <c r="E699">
        <v>9.6999999999999993</v>
      </c>
      <c r="F699">
        <v>11.5</v>
      </c>
      <c r="G699">
        <v>54.2</v>
      </c>
      <c r="H699">
        <v>8.5</v>
      </c>
    </row>
    <row r="700" spans="1:8" x14ac:dyDescent="0.35">
      <c r="A700">
        <v>698</v>
      </c>
      <c r="B700">
        <f>696</f>
        <v>696</v>
      </c>
      <c r="C700" t="s">
        <v>1152</v>
      </c>
      <c r="D700" t="s">
        <v>1153</v>
      </c>
      <c r="E700">
        <v>52.6</v>
      </c>
      <c r="F700">
        <v>9.1999999999999993</v>
      </c>
      <c r="G700">
        <v>2.7</v>
      </c>
      <c r="H700">
        <v>10.6</v>
      </c>
    </row>
    <row r="701" spans="1:8" x14ac:dyDescent="0.35">
      <c r="A701">
        <v>699</v>
      </c>
      <c r="B701" t="s">
        <v>1154</v>
      </c>
      <c r="C701" t="s">
        <v>1155</v>
      </c>
      <c r="D701" t="s">
        <v>1156</v>
      </c>
      <c r="E701">
        <v>37.9</v>
      </c>
      <c r="F701">
        <v>10.3</v>
      </c>
      <c r="G701">
        <v>46.3</v>
      </c>
      <c r="H701">
        <v>4.3</v>
      </c>
    </row>
    <row r="702" spans="1:8" x14ac:dyDescent="0.35">
      <c r="A702">
        <v>700</v>
      </c>
      <c r="B702" t="s">
        <v>1154</v>
      </c>
      <c r="C702" t="s">
        <v>1157</v>
      </c>
      <c r="D702" t="s">
        <v>10</v>
      </c>
      <c r="E702">
        <v>16</v>
      </c>
      <c r="F702">
        <v>19.100000000000001</v>
      </c>
      <c r="G702">
        <v>22.5</v>
      </c>
      <c r="H702">
        <v>8.6</v>
      </c>
    </row>
    <row r="703" spans="1:8" x14ac:dyDescent="0.35">
      <c r="A703">
        <v>701</v>
      </c>
      <c r="B703" t="s">
        <v>1154</v>
      </c>
      <c r="C703" t="s">
        <v>1158</v>
      </c>
      <c r="D703" t="s">
        <v>1159</v>
      </c>
      <c r="E703">
        <v>87.3</v>
      </c>
      <c r="F703">
        <v>5.0999999999999996</v>
      </c>
      <c r="G703">
        <v>13.9</v>
      </c>
      <c r="H703">
        <v>4.8</v>
      </c>
    </row>
    <row r="704" spans="1:8" x14ac:dyDescent="0.35">
      <c r="A704">
        <v>702</v>
      </c>
      <c r="B704" t="s">
        <v>1154</v>
      </c>
      <c r="C704" t="s">
        <v>1160</v>
      </c>
      <c r="D704" t="s">
        <v>1161</v>
      </c>
      <c r="E704">
        <v>65</v>
      </c>
      <c r="F704">
        <v>6.5</v>
      </c>
      <c r="G704">
        <v>37</v>
      </c>
      <c r="H704">
        <v>7.7</v>
      </c>
    </row>
    <row r="705" spans="1:8" x14ac:dyDescent="0.35">
      <c r="A705">
        <v>703</v>
      </c>
      <c r="B705" t="s">
        <v>1154</v>
      </c>
      <c r="C705" t="s">
        <v>1162</v>
      </c>
      <c r="D705" t="s">
        <v>104</v>
      </c>
      <c r="E705">
        <v>1.8</v>
      </c>
      <c r="F705">
        <v>8.4</v>
      </c>
      <c r="G705">
        <v>96.3</v>
      </c>
      <c r="H705">
        <v>18.5</v>
      </c>
    </row>
    <row r="706" spans="1:8" x14ac:dyDescent="0.35">
      <c r="A706">
        <v>704</v>
      </c>
      <c r="B706" t="s">
        <v>1154</v>
      </c>
      <c r="C706" t="s">
        <v>1163</v>
      </c>
      <c r="D706" t="s">
        <v>104</v>
      </c>
      <c r="E706">
        <v>1.7</v>
      </c>
      <c r="F706">
        <v>8.9</v>
      </c>
      <c r="G706">
        <v>95.5</v>
      </c>
      <c r="H706">
        <v>12.9</v>
      </c>
    </row>
    <row r="707" spans="1:8" x14ac:dyDescent="0.35">
      <c r="A707">
        <v>705</v>
      </c>
      <c r="B707" t="s">
        <v>1154</v>
      </c>
      <c r="C707" t="s">
        <v>1164</v>
      </c>
      <c r="D707" t="s">
        <v>1165</v>
      </c>
      <c r="E707">
        <v>76.7</v>
      </c>
      <c r="F707">
        <v>3.9</v>
      </c>
      <c r="G707">
        <v>15.1</v>
      </c>
      <c r="H707">
        <v>9.3000000000000007</v>
      </c>
    </row>
    <row r="708" spans="1:8" x14ac:dyDescent="0.35">
      <c r="A708">
        <v>706</v>
      </c>
      <c r="B708" t="s">
        <v>1154</v>
      </c>
      <c r="C708" t="s">
        <v>1166</v>
      </c>
      <c r="D708" t="s">
        <v>1167</v>
      </c>
      <c r="E708">
        <v>51.1</v>
      </c>
      <c r="F708">
        <v>16</v>
      </c>
      <c r="G708">
        <v>11.5</v>
      </c>
      <c r="H708">
        <v>17.399999999999999</v>
      </c>
    </row>
    <row r="709" spans="1:8" x14ac:dyDescent="0.35">
      <c r="A709">
        <v>707</v>
      </c>
      <c r="B709" t="s">
        <v>1154</v>
      </c>
      <c r="C709" t="s">
        <v>1168</v>
      </c>
      <c r="D709" t="s">
        <v>1169</v>
      </c>
      <c r="E709">
        <v>16.899999999999999</v>
      </c>
      <c r="F709">
        <v>27.3</v>
      </c>
      <c r="G709">
        <v>44.8</v>
      </c>
      <c r="H709">
        <v>8.4</v>
      </c>
    </row>
    <row r="710" spans="1:8" x14ac:dyDescent="0.35">
      <c r="A710">
        <v>708</v>
      </c>
      <c r="B710" t="s">
        <v>1154</v>
      </c>
      <c r="C710" t="s">
        <v>1170</v>
      </c>
      <c r="D710" t="s">
        <v>1171</v>
      </c>
      <c r="E710">
        <v>38.299999999999997</v>
      </c>
      <c r="F710">
        <v>17.2</v>
      </c>
      <c r="G710">
        <v>19.399999999999999</v>
      </c>
      <c r="H710">
        <v>10.9</v>
      </c>
    </row>
    <row r="711" spans="1:8" x14ac:dyDescent="0.35">
      <c r="A711">
        <v>709</v>
      </c>
      <c r="B711" t="s">
        <v>1172</v>
      </c>
      <c r="C711" t="s">
        <v>1173</v>
      </c>
      <c r="D711" t="s">
        <v>1174</v>
      </c>
      <c r="E711">
        <v>14</v>
      </c>
      <c r="F711">
        <v>13.9</v>
      </c>
      <c r="G711">
        <v>38.700000000000003</v>
      </c>
      <c r="H711">
        <v>5.5</v>
      </c>
    </row>
    <row r="712" spans="1:8" x14ac:dyDescent="0.35">
      <c r="A712">
        <v>710</v>
      </c>
      <c r="B712" t="s">
        <v>1172</v>
      </c>
      <c r="C712" t="s">
        <v>1175</v>
      </c>
      <c r="D712" t="s">
        <v>947</v>
      </c>
      <c r="E712">
        <v>5</v>
      </c>
      <c r="F712" t="s">
        <v>303</v>
      </c>
      <c r="G712">
        <v>1.4</v>
      </c>
      <c r="H712">
        <v>15.6</v>
      </c>
    </row>
    <row r="713" spans="1:8" x14ac:dyDescent="0.35">
      <c r="A713">
        <v>711</v>
      </c>
      <c r="B713">
        <v>79.400000000000006</v>
      </c>
      <c r="C713">
        <v>29.5</v>
      </c>
      <c r="D713" t="s">
        <v>1172</v>
      </c>
      <c r="E713">
        <v>36.200000000000003</v>
      </c>
      <c r="F713">
        <v>19.100000000000001</v>
      </c>
      <c r="G713">
        <v>12.7</v>
      </c>
      <c r="H713">
        <v>46.3</v>
      </c>
    </row>
    <row r="714" spans="1:8" x14ac:dyDescent="0.35">
      <c r="A714">
        <v>712</v>
      </c>
      <c r="B714" t="s">
        <v>1172</v>
      </c>
      <c r="C714" t="s">
        <v>1176</v>
      </c>
      <c r="D714" t="s">
        <v>1177</v>
      </c>
      <c r="E714">
        <v>55.4</v>
      </c>
      <c r="F714">
        <v>11.7</v>
      </c>
      <c r="G714">
        <v>9.1999999999999993</v>
      </c>
      <c r="H714">
        <v>8.6</v>
      </c>
    </row>
    <row r="715" spans="1:8" x14ac:dyDescent="0.35">
      <c r="A715">
        <v>713</v>
      </c>
      <c r="B715" t="s">
        <v>1172</v>
      </c>
      <c r="C715" t="s">
        <v>1178</v>
      </c>
      <c r="D715" t="s">
        <v>1179</v>
      </c>
      <c r="E715">
        <v>94.7</v>
      </c>
      <c r="F715">
        <v>5.3</v>
      </c>
      <c r="G715">
        <v>21</v>
      </c>
      <c r="H715">
        <v>2.8</v>
      </c>
    </row>
    <row r="716" spans="1:8" x14ac:dyDescent="0.35">
      <c r="A716">
        <v>714</v>
      </c>
      <c r="B716" t="s">
        <v>1172</v>
      </c>
      <c r="C716" t="s">
        <v>1180</v>
      </c>
      <c r="D716" t="s">
        <v>1181</v>
      </c>
      <c r="E716">
        <v>30.7</v>
      </c>
      <c r="F716">
        <v>20.100000000000001</v>
      </c>
      <c r="G716">
        <v>21.2</v>
      </c>
      <c r="H716">
        <v>17.100000000000001</v>
      </c>
    </row>
    <row r="717" spans="1:8" x14ac:dyDescent="0.35">
      <c r="A717">
        <v>715</v>
      </c>
      <c r="B717" t="s">
        <v>1172</v>
      </c>
      <c r="C717" t="s">
        <v>1182</v>
      </c>
      <c r="D717" t="s">
        <v>1183</v>
      </c>
      <c r="E717">
        <v>11.7</v>
      </c>
      <c r="F717">
        <v>20.7</v>
      </c>
      <c r="G717">
        <v>38.700000000000003</v>
      </c>
      <c r="H717">
        <v>15.1</v>
      </c>
    </row>
    <row r="718" spans="1:8" x14ac:dyDescent="0.35">
      <c r="A718">
        <v>716</v>
      </c>
      <c r="B718" t="s">
        <v>1172</v>
      </c>
      <c r="C718" t="s">
        <v>1184</v>
      </c>
      <c r="D718" t="s">
        <v>1185</v>
      </c>
      <c r="E718">
        <v>66.8</v>
      </c>
      <c r="F718">
        <v>11.4</v>
      </c>
      <c r="G718">
        <v>19.899999999999999</v>
      </c>
      <c r="H718">
        <v>13</v>
      </c>
    </row>
    <row r="719" spans="1:8" x14ac:dyDescent="0.35">
      <c r="A719">
        <v>717</v>
      </c>
      <c r="B719" t="s">
        <v>1172</v>
      </c>
      <c r="C719" t="s">
        <v>1186</v>
      </c>
      <c r="D719" t="s">
        <v>269</v>
      </c>
      <c r="E719">
        <v>4</v>
      </c>
      <c r="F719" t="s">
        <v>303</v>
      </c>
      <c r="G719">
        <v>1.5</v>
      </c>
      <c r="H719">
        <v>18.399999999999999</v>
      </c>
    </row>
    <row r="720" spans="1:8" x14ac:dyDescent="0.35">
      <c r="A720">
        <v>718</v>
      </c>
      <c r="B720">
        <v>83</v>
      </c>
      <c r="C720">
        <v>28.6</v>
      </c>
      <c r="D720" t="s">
        <v>1172</v>
      </c>
      <c r="E720">
        <v>17.3</v>
      </c>
      <c r="F720">
        <v>23.1</v>
      </c>
      <c r="G720">
        <v>10.9</v>
      </c>
      <c r="H720">
        <v>8.5</v>
      </c>
    </row>
    <row r="721" spans="1:8" x14ac:dyDescent="0.35">
      <c r="A721">
        <v>719</v>
      </c>
      <c r="B721" t="s">
        <v>1172</v>
      </c>
      <c r="C721" t="s">
        <v>1187</v>
      </c>
      <c r="D721" t="s">
        <v>880</v>
      </c>
      <c r="E721">
        <v>30.1</v>
      </c>
      <c r="F721">
        <v>5.6</v>
      </c>
      <c r="G721">
        <v>23.9</v>
      </c>
      <c r="H721">
        <v>4.4000000000000004</v>
      </c>
    </row>
    <row r="722" spans="1:8" x14ac:dyDescent="0.35">
      <c r="A722">
        <v>720</v>
      </c>
      <c r="B722" t="s">
        <v>1172</v>
      </c>
      <c r="C722" t="s">
        <v>1188</v>
      </c>
      <c r="D722" t="s">
        <v>1189</v>
      </c>
      <c r="E722">
        <v>29.4</v>
      </c>
      <c r="F722">
        <v>24.7</v>
      </c>
      <c r="G722">
        <v>10.7</v>
      </c>
      <c r="H722">
        <v>21.1</v>
      </c>
    </row>
    <row r="723" spans="1:8" x14ac:dyDescent="0.35">
      <c r="A723">
        <v>721</v>
      </c>
      <c r="B723" t="s">
        <v>1172</v>
      </c>
      <c r="C723" t="s">
        <v>1190</v>
      </c>
      <c r="D723" t="s">
        <v>1191</v>
      </c>
      <c r="E723">
        <v>31.4</v>
      </c>
      <c r="F723">
        <v>17.100000000000001</v>
      </c>
      <c r="G723">
        <v>10.1</v>
      </c>
      <c r="H723">
        <v>16.100000000000001</v>
      </c>
    </row>
    <row r="724" spans="1:8" x14ac:dyDescent="0.35">
      <c r="A724">
        <v>722</v>
      </c>
      <c r="B724" t="s">
        <v>1192</v>
      </c>
      <c r="C724" t="s">
        <v>1193</v>
      </c>
      <c r="D724" t="s">
        <v>1194</v>
      </c>
      <c r="E724">
        <v>50.1</v>
      </c>
      <c r="F724">
        <v>21.8</v>
      </c>
      <c r="G724">
        <v>14</v>
      </c>
      <c r="H724">
        <v>12</v>
      </c>
    </row>
    <row r="725" spans="1:8" x14ac:dyDescent="0.35">
      <c r="A725">
        <v>723</v>
      </c>
      <c r="B725" t="s">
        <v>1192</v>
      </c>
      <c r="C725" t="s">
        <v>1195</v>
      </c>
      <c r="D725" t="s">
        <v>385</v>
      </c>
      <c r="E725">
        <v>3.9</v>
      </c>
      <c r="F725">
        <v>40.200000000000003</v>
      </c>
      <c r="G725">
        <v>10.5</v>
      </c>
      <c r="H725">
        <v>31.5</v>
      </c>
    </row>
    <row r="726" spans="1:8" x14ac:dyDescent="0.35">
      <c r="A726">
        <v>724</v>
      </c>
      <c r="B726" t="s">
        <v>1192</v>
      </c>
      <c r="C726" t="s">
        <v>1196</v>
      </c>
      <c r="D726" t="s">
        <v>1197</v>
      </c>
      <c r="E726">
        <v>51.3</v>
      </c>
      <c r="F726">
        <v>9.6</v>
      </c>
      <c r="G726">
        <v>46.8</v>
      </c>
      <c r="H726">
        <v>10.7</v>
      </c>
    </row>
    <row r="727" spans="1:8" x14ac:dyDescent="0.35">
      <c r="A727">
        <v>725</v>
      </c>
      <c r="B727" t="s">
        <v>1192</v>
      </c>
      <c r="C727" t="s">
        <v>1198</v>
      </c>
      <c r="D727" t="s">
        <v>1199</v>
      </c>
      <c r="E727">
        <v>19.600000000000001</v>
      </c>
      <c r="F727">
        <v>19.100000000000001</v>
      </c>
      <c r="G727">
        <v>10.9</v>
      </c>
      <c r="H727">
        <v>15</v>
      </c>
    </row>
    <row r="728" spans="1:8" x14ac:dyDescent="0.35">
      <c r="A728">
        <v>726</v>
      </c>
      <c r="B728" t="s">
        <v>1192</v>
      </c>
      <c r="C728" t="s">
        <v>1200</v>
      </c>
      <c r="D728" t="s">
        <v>1201</v>
      </c>
      <c r="E728">
        <v>40.700000000000003</v>
      </c>
      <c r="F728">
        <v>12.6</v>
      </c>
      <c r="G728">
        <v>16.100000000000001</v>
      </c>
      <c r="H728">
        <v>5.8</v>
      </c>
    </row>
    <row r="729" spans="1:8" x14ac:dyDescent="0.35">
      <c r="A729">
        <v>727</v>
      </c>
      <c r="B729" t="s">
        <v>1192</v>
      </c>
      <c r="C729" t="s">
        <v>1202</v>
      </c>
      <c r="D729" t="s">
        <v>166</v>
      </c>
      <c r="E729">
        <v>70.599999999999994</v>
      </c>
      <c r="F729">
        <v>8.4</v>
      </c>
      <c r="G729">
        <v>21</v>
      </c>
      <c r="H729">
        <v>18.2</v>
      </c>
    </row>
    <row r="730" spans="1:8" x14ac:dyDescent="0.35">
      <c r="A730">
        <v>728</v>
      </c>
      <c r="B730" t="s">
        <v>1192</v>
      </c>
      <c r="C730" t="s">
        <v>1203</v>
      </c>
      <c r="D730" t="s">
        <v>1204</v>
      </c>
      <c r="E730">
        <v>90</v>
      </c>
      <c r="F730">
        <v>4.2</v>
      </c>
      <c r="G730">
        <v>8</v>
      </c>
      <c r="H730">
        <v>7.2</v>
      </c>
    </row>
    <row r="731" spans="1:8" x14ac:dyDescent="0.35">
      <c r="A731">
        <v>729</v>
      </c>
      <c r="B731" t="s">
        <v>1192</v>
      </c>
      <c r="C731" t="s">
        <v>1205</v>
      </c>
      <c r="D731" t="s">
        <v>214</v>
      </c>
      <c r="E731">
        <v>2.6</v>
      </c>
      <c r="F731">
        <v>12.4</v>
      </c>
      <c r="G731">
        <v>61.5</v>
      </c>
      <c r="H731">
        <v>41.6</v>
      </c>
    </row>
    <row r="732" spans="1:8" x14ac:dyDescent="0.35">
      <c r="A732">
        <v>730</v>
      </c>
      <c r="B732" t="s">
        <v>1192</v>
      </c>
      <c r="C732" t="s">
        <v>1206</v>
      </c>
      <c r="D732" t="s">
        <v>381</v>
      </c>
      <c r="E732">
        <v>11.8</v>
      </c>
      <c r="F732">
        <v>9.6999999999999993</v>
      </c>
      <c r="G732">
        <v>73.599999999999994</v>
      </c>
      <c r="H732">
        <v>16.8</v>
      </c>
    </row>
    <row r="733" spans="1:8" x14ac:dyDescent="0.35">
      <c r="A733">
        <v>731</v>
      </c>
      <c r="B733" t="s">
        <v>1192</v>
      </c>
      <c r="C733" t="s">
        <v>1207</v>
      </c>
      <c r="D733" t="s">
        <v>1191</v>
      </c>
      <c r="E733">
        <v>16.100000000000001</v>
      </c>
      <c r="F733">
        <v>17.8</v>
      </c>
      <c r="G733">
        <v>41.9</v>
      </c>
      <c r="H733">
        <v>15</v>
      </c>
    </row>
    <row r="734" spans="1:8" x14ac:dyDescent="0.35">
      <c r="A734">
        <v>732</v>
      </c>
      <c r="B734" t="s">
        <v>1192</v>
      </c>
      <c r="C734" t="s">
        <v>1208</v>
      </c>
      <c r="D734" t="s">
        <v>1209</v>
      </c>
      <c r="E734">
        <v>7.6</v>
      </c>
      <c r="F734">
        <v>25.8</v>
      </c>
      <c r="G734">
        <v>27.1</v>
      </c>
      <c r="H734">
        <v>7.7</v>
      </c>
    </row>
    <row r="735" spans="1:8" x14ac:dyDescent="0.35">
      <c r="A735">
        <v>733</v>
      </c>
      <c r="B735" t="s">
        <v>1210</v>
      </c>
      <c r="C735" t="s">
        <v>1211</v>
      </c>
      <c r="D735" t="s">
        <v>1212</v>
      </c>
      <c r="E735">
        <v>8.3000000000000007</v>
      </c>
      <c r="F735">
        <v>24.8</v>
      </c>
      <c r="G735">
        <v>48.8</v>
      </c>
      <c r="H735">
        <v>15.7</v>
      </c>
    </row>
    <row r="736" spans="1:8" x14ac:dyDescent="0.35">
      <c r="A736">
        <v>734</v>
      </c>
      <c r="B736" t="s">
        <v>1210</v>
      </c>
      <c r="C736" t="s">
        <v>1213</v>
      </c>
      <c r="D736" t="s">
        <v>542</v>
      </c>
      <c r="E736">
        <v>4.5</v>
      </c>
      <c r="F736">
        <v>27.5</v>
      </c>
      <c r="G736">
        <v>14.2</v>
      </c>
      <c r="H736">
        <v>38.299999999999997</v>
      </c>
    </row>
    <row r="737" spans="1:8" x14ac:dyDescent="0.35">
      <c r="A737">
        <v>735</v>
      </c>
      <c r="B737" t="s">
        <v>1210</v>
      </c>
      <c r="C737" t="s">
        <v>1214</v>
      </c>
      <c r="D737" t="s">
        <v>29</v>
      </c>
      <c r="E737">
        <v>92.1</v>
      </c>
      <c r="F737">
        <v>5.0999999999999996</v>
      </c>
      <c r="G737">
        <v>7.8</v>
      </c>
      <c r="H737">
        <v>7.4</v>
      </c>
    </row>
    <row r="738" spans="1:8" x14ac:dyDescent="0.35">
      <c r="A738">
        <v>736</v>
      </c>
      <c r="B738" t="s">
        <v>1210</v>
      </c>
      <c r="C738" t="s">
        <v>1215</v>
      </c>
      <c r="D738" t="s">
        <v>29</v>
      </c>
      <c r="E738">
        <v>60.4</v>
      </c>
      <c r="F738">
        <v>11.2</v>
      </c>
      <c r="G738">
        <v>36.700000000000003</v>
      </c>
      <c r="H738">
        <v>13.2</v>
      </c>
    </row>
    <row r="739" spans="1:8" x14ac:dyDescent="0.35">
      <c r="A739">
        <v>737</v>
      </c>
      <c r="B739" t="s">
        <v>1210</v>
      </c>
      <c r="C739" t="s">
        <v>1216</v>
      </c>
      <c r="D739" t="s">
        <v>1217</v>
      </c>
      <c r="E739">
        <v>26</v>
      </c>
      <c r="F739">
        <v>10.8</v>
      </c>
      <c r="G739">
        <v>11.7</v>
      </c>
      <c r="H739">
        <v>10.8</v>
      </c>
    </row>
    <row r="740" spans="1:8" x14ac:dyDescent="0.35">
      <c r="A740">
        <v>738</v>
      </c>
      <c r="B740" t="s">
        <v>1210</v>
      </c>
      <c r="C740" t="s">
        <v>1218</v>
      </c>
      <c r="D740" t="s">
        <v>1219</v>
      </c>
      <c r="E740">
        <v>73.8</v>
      </c>
      <c r="F740">
        <v>6.3</v>
      </c>
      <c r="G740">
        <v>27.7</v>
      </c>
      <c r="H740">
        <v>5.6</v>
      </c>
    </row>
    <row r="741" spans="1:8" x14ac:dyDescent="0.35">
      <c r="A741">
        <v>739</v>
      </c>
      <c r="B741" t="s">
        <v>1210</v>
      </c>
      <c r="C741" t="s">
        <v>1220</v>
      </c>
      <c r="D741" t="s">
        <v>1221</v>
      </c>
      <c r="E741">
        <v>15.2</v>
      </c>
      <c r="F741">
        <v>18.100000000000001</v>
      </c>
      <c r="G741">
        <v>15.2</v>
      </c>
      <c r="H741">
        <v>25.4</v>
      </c>
    </row>
    <row r="742" spans="1:8" x14ac:dyDescent="0.35">
      <c r="A742">
        <v>740</v>
      </c>
      <c r="B742" t="s">
        <v>1210</v>
      </c>
      <c r="C742" t="s">
        <v>1222</v>
      </c>
      <c r="D742" t="s">
        <v>1223</v>
      </c>
      <c r="E742">
        <v>10.6</v>
      </c>
      <c r="F742">
        <v>14.6</v>
      </c>
      <c r="G742">
        <v>65.599999999999994</v>
      </c>
      <c r="H742">
        <v>10.5</v>
      </c>
    </row>
    <row r="743" spans="1:8" x14ac:dyDescent="0.35">
      <c r="A743">
        <v>741</v>
      </c>
      <c r="B743" t="s">
        <v>1210</v>
      </c>
      <c r="C743" t="s">
        <v>1224</v>
      </c>
      <c r="D743" t="s">
        <v>1225</v>
      </c>
      <c r="E743">
        <v>40.700000000000003</v>
      </c>
      <c r="F743">
        <v>19.600000000000001</v>
      </c>
      <c r="G743">
        <v>11.7</v>
      </c>
      <c r="H743">
        <v>11.2</v>
      </c>
    </row>
    <row r="744" spans="1:8" x14ac:dyDescent="0.35">
      <c r="A744">
        <v>742</v>
      </c>
      <c r="B744" t="s">
        <v>1210</v>
      </c>
      <c r="C744" t="s">
        <v>1226</v>
      </c>
      <c r="D744" t="s">
        <v>1227</v>
      </c>
      <c r="E744">
        <v>27.7</v>
      </c>
      <c r="F744">
        <v>19.5</v>
      </c>
      <c r="G744">
        <v>3.8</v>
      </c>
      <c r="H744">
        <v>38.299999999999997</v>
      </c>
    </row>
    <row r="745" spans="1:8" x14ac:dyDescent="0.35">
      <c r="A745">
        <v>743</v>
      </c>
      <c r="B745" t="s">
        <v>1228</v>
      </c>
      <c r="C745" t="s">
        <v>1229</v>
      </c>
      <c r="D745" t="s">
        <v>1230</v>
      </c>
      <c r="E745">
        <v>2.4</v>
      </c>
      <c r="F745">
        <v>10.8</v>
      </c>
      <c r="G745">
        <v>99.1</v>
      </c>
      <c r="H745">
        <v>16.600000000000001</v>
      </c>
    </row>
    <row r="746" spans="1:8" x14ac:dyDescent="0.35">
      <c r="A746">
        <v>744</v>
      </c>
      <c r="B746" t="s">
        <v>1228</v>
      </c>
      <c r="C746" t="s">
        <v>1231</v>
      </c>
      <c r="D746" t="s">
        <v>857</v>
      </c>
      <c r="E746">
        <v>6.2</v>
      </c>
      <c r="F746">
        <v>7.3</v>
      </c>
      <c r="G746">
        <v>96.4</v>
      </c>
      <c r="H746">
        <v>20.5</v>
      </c>
    </row>
    <row r="747" spans="1:8" x14ac:dyDescent="0.35">
      <c r="A747">
        <v>745</v>
      </c>
      <c r="B747" t="s">
        <v>1228</v>
      </c>
      <c r="C747" t="s">
        <v>1232</v>
      </c>
      <c r="D747" t="s">
        <v>969</v>
      </c>
      <c r="E747">
        <v>40.700000000000003</v>
      </c>
      <c r="F747">
        <v>6.6</v>
      </c>
      <c r="G747">
        <v>11.2</v>
      </c>
      <c r="H747">
        <v>25.4</v>
      </c>
    </row>
    <row r="748" spans="1:8" x14ac:dyDescent="0.35">
      <c r="A748">
        <v>746</v>
      </c>
      <c r="B748" t="s">
        <v>1228</v>
      </c>
      <c r="C748" t="s">
        <v>1233</v>
      </c>
      <c r="D748" t="s">
        <v>1234</v>
      </c>
      <c r="E748">
        <v>8</v>
      </c>
      <c r="F748">
        <v>19.3</v>
      </c>
      <c r="G748">
        <v>47.6</v>
      </c>
      <c r="H748">
        <v>9.4</v>
      </c>
    </row>
    <row r="749" spans="1:8" x14ac:dyDescent="0.35">
      <c r="A749">
        <v>747</v>
      </c>
      <c r="B749" t="s">
        <v>1228</v>
      </c>
      <c r="C749" t="s">
        <v>1235</v>
      </c>
      <c r="D749" t="s">
        <v>1236</v>
      </c>
      <c r="E749">
        <v>14.1</v>
      </c>
      <c r="F749">
        <v>37</v>
      </c>
      <c r="G749">
        <v>17.7</v>
      </c>
      <c r="H749">
        <v>7.9</v>
      </c>
    </row>
    <row r="750" spans="1:8" x14ac:dyDescent="0.35">
      <c r="A750">
        <v>748</v>
      </c>
      <c r="B750" t="s">
        <v>1228</v>
      </c>
      <c r="C750" t="s">
        <v>1237</v>
      </c>
      <c r="D750" t="s">
        <v>1238</v>
      </c>
      <c r="E750">
        <v>48.5</v>
      </c>
      <c r="F750">
        <v>19.5</v>
      </c>
      <c r="G750">
        <v>7.4</v>
      </c>
      <c r="H750">
        <v>7</v>
      </c>
    </row>
    <row r="751" spans="1:8" x14ac:dyDescent="0.35">
      <c r="A751">
        <v>749</v>
      </c>
      <c r="B751" t="s">
        <v>1228</v>
      </c>
      <c r="C751" t="s">
        <v>1239</v>
      </c>
      <c r="D751" t="s">
        <v>1240</v>
      </c>
      <c r="E751">
        <v>30.3</v>
      </c>
      <c r="F751">
        <v>16.7</v>
      </c>
      <c r="G751">
        <v>23.3</v>
      </c>
      <c r="H751">
        <v>15.6</v>
      </c>
    </row>
    <row r="752" spans="1:8" x14ac:dyDescent="0.35">
      <c r="A752">
        <v>750</v>
      </c>
      <c r="B752" t="s">
        <v>1241</v>
      </c>
      <c r="C752" t="s">
        <v>1242</v>
      </c>
      <c r="D752" t="s">
        <v>1243</v>
      </c>
      <c r="E752">
        <v>27.9</v>
      </c>
      <c r="F752">
        <v>12.6</v>
      </c>
      <c r="G752">
        <v>39.5</v>
      </c>
      <c r="H752">
        <v>9</v>
      </c>
    </row>
    <row r="753" spans="1:8" x14ac:dyDescent="0.35">
      <c r="A753">
        <v>751</v>
      </c>
      <c r="B753" t="s">
        <v>1241</v>
      </c>
      <c r="C753" t="s">
        <v>1244</v>
      </c>
      <c r="D753" t="s">
        <v>997</v>
      </c>
      <c r="E753">
        <v>12.8</v>
      </c>
      <c r="F753">
        <v>20.100000000000001</v>
      </c>
      <c r="G753">
        <v>17.5</v>
      </c>
      <c r="H753">
        <v>41.2</v>
      </c>
    </row>
    <row r="754" spans="1:8" x14ac:dyDescent="0.35">
      <c r="A754">
        <v>752</v>
      </c>
      <c r="B754" t="s">
        <v>1241</v>
      </c>
      <c r="C754" t="s">
        <v>1245</v>
      </c>
      <c r="D754" t="s">
        <v>1246</v>
      </c>
      <c r="E754">
        <v>5.8</v>
      </c>
      <c r="F754">
        <v>28.1</v>
      </c>
      <c r="G754">
        <v>7.4</v>
      </c>
      <c r="H754">
        <v>50.3</v>
      </c>
    </row>
    <row r="755" spans="1:8" x14ac:dyDescent="0.35">
      <c r="A755">
        <v>753</v>
      </c>
      <c r="B755" t="s">
        <v>1241</v>
      </c>
      <c r="C755" t="s">
        <v>1247</v>
      </c>
      <c r="D755" t="s">
        <v>269</v>
      </c>
      <c r="E755">
        <v>2.8</v>
      </c>
      <c r="F755">
        <v>21.8</v>
      </c>
      <c r="G755">
        <v>24.5</v>
      </c>
      <c r="H755">
        <v>37.200000000000003</v>
      </c>
    </row>
    <row r="756" spans="1:8" x14ac:dyDescent="0.35">
      <c r="A756">
        <v>754</v>
      </c>
      <c r="B756" t="s">
        <v>1241</v>
      </c>
      <c r="C756" t="s">
        <v>1248</v>
      </c>
      <c r="D756" t="s">
        <v>1249</v>
      </c>
      <c r="E756">
        <v>79.3</v>
      </c>
      <c r="F756">
        <v>3.2</v>
      </c>
      <c r="G756">
        <v>7.4</v>
      </c>
      <c r="H756">
        <v>11.5</v>
      </c>
    </row>
    <row r="757" spans="1:8" x14ac:dyDescent="0.35">
      <c r="A757">
        <v>755</v>
      </c>
      <c r="B757" t="s">
        <v>1241</v>
      </c>
      <c r="C757" t="s">
        <v>1250</v>
      </c>
      <c r="D757" t="s">
        <v>1251</v>
      </c>
      <c r="E757">
        <v>5</v>
      </c>
      <c r="F757" t="s">
        <v>303</v>
      </c>
      <c r="G757">
        <v>3.2</v>
      </c>
      <c r="H757">
        <v>14.9</v>
      </c>
    </row>
    <row r="758" spans="1:8" x14ac:dyDescent="0.35">
      <c r="A758">
        <v>756</v>
      </c>
      <c r="B758">
        <v>69.2</v>
      </c>
      <c r="C758">
        <v>40.799999999999997</v>
      </c>
      <c r="D758" t="s">
        <v>1241</v>
      </c>
      <c r="E758">
        <v>6.3</v>
      </c>
      <c r="F758">
        <v>12.5</v>
      </c>
      <c r="G758">
        <v>25.4</v>
      </c>
      <c r="H758">
        <v>33.5</v>
      </c>
    </row>
    <row r="759" spans="1:8" x14ac:dyDescent="0.35">
      <c r="A759">
        <v>757</v>
      </c>
      <c r="B759" t="s">
        <v>1241</v>
      </c>
      <c r="C759" t="s">
        <v>1252</v>
      </c>
      <c r="D759" t="s">
        <v>1253</v>
      </c>
      <c r="E759">
        <v>2.8</v>
      </c>
      <c r="F759">
        <v>13.3</v>
      </c>
      <c r="G759">
        <v>57.2</v>
      </c>
      <c r="H759">
        <v>26.7</v>
      </c>
    </row>
    <row r="760" spans="1:8" x14ac:dyDescent="0.35">
      <c r="A760">
        <v>758</v>
      </c>
      <c r="B760" t="s">
        <v>1241</v>
      </c>
      <c r="C760" t="s">
        <v>1254</v>
      </c>
      <c r="D760" t="s">
        <v>32</v>
      </c>
      <c r="E760">
        <v>5</v>
      </c>
      <c r="F760" t="s">
        <v>303</v>
      </c>
      <c r="G760" t="s">
        <v>304</v>
      </c>
      <c r="H760">
        <v>21.4</v>
      </c>
    </row>
    <row r="761" spans="1:8" x14ac:dyDescent="0.35">
      <c r="A761">
        <v>759</v>
      </c>
      <c r="B761">
        <v>17.7</v>
      </c>
      <c r="C761">
        <v>34.1</v>
      </c>
      <c r="D761">
        <v>16.399999999999999</v>
      </c>
      <c r="E761">
        <v>4.0999999999999996</v>
      </c>
      <c r="F761">
        <v>27.3</v>
      </c>
      <c r="G761">
        <v>7</v>
      </c>
      <c r="H761">
        <v>37.700000000000003</v>
      </c>
    </row>
    <row r="762" spans="1:8" x14ac:dyDescent="0.35">
      <c r="A762">
        <v>760</v>
      </c>
      <c r="B762" t="s">
        <v>1241</v>
      </c>
      <c r="C762" t="s">
        <v>1255</v>
      </c>
      <c r="D762" t="s">
        <v>1147</v>
      </c>
      <c r="E762">
        <v>5.5</v>
      </c>
      <c r="F762">
        <v>11.3</v>
      </c>
      <c r="G762">
        <v>39.4</v>
      </c>
      <c r="H762">
        <v>20</v>
      </c>
    </row>
    <row r="763" spans="1:8" x14ac:dyDescent="0.35">
      <c r="A763">
        <v>761</v>
      </c>
      <c r="B763" t="s">
        <v>1256</v>
      </c>
      <c r="C763" t="s">
        <v>1257</v>
      </c>
      <c r="D763" t="s">
        <v>583</v>
      </c>
      <c r="E763">
        <v>11.8</v>
      </c>
      <c r="F763">
        <v>16</v>
      </c>
      <c r="G763">
        <v>56.1</v>
      </c>
      <c r="H763">
        <v>34.5</v>
      </c>
    </row>
    <row r="764" spans="1:8" x14ac:dyDescent="0.35">
      <c r="A764">
        <v>762</v>
      </c>
      <c r="B764" t="s">
        <v>1256</v>
      </c>
      <c r="C764" t="s">
        <v>1258</v>
      </c>
      <c r="D764" t="s">
        <v>579</v>
      </c>
      <c r="E764">
        <v>10.3</v>
      </c>
      <c r="F764">
        <v>13.3</v>
      </c>
      <c r="G764">
        <v>30.5</v>
      </c>
      <c r="H764">
        <v>21.9</v>
      </c>
    </row>
    <row r="765" spans="1:8" x14ac:dyDescent="0.35">
      <c r="A765">
        <v>763</v>
      </c>
      <c r="B765" t="s">
        <v>1256</v>
      </c>
      <c r="C765" t="s">
        <v>1259</v>
      </c>
      <c r="D765" t="s">
        <v>1260</v>
      </c>
      <c r="E765">
        <v>3.8</v>
      </c>
      <c r="F765">
        <v>10</v>
      </c>
      <c r="G765">
        <v>68</v>
      </c>
      <c r="H765">
        <v>27.2</v>
      </c>
    </row>
    <row r="766" spans="1:8" x14ac:dyDescent="0.35">
      <c r="A766">
        <v>764</v>
      </c>
      <c r="B766" t="s">
        <v>1256</v>
      </c>
      <c r="C766" t="s">
        <v>1261</v>
      </c>
      <c r="D766" t="s">
        <v>1262</v>
      </c>
      <c r="E766">
        <v>18.2</v>
      </c>
      <c r="F766">
        <v>7.3</v>
      </c>
      <c r="G766">
        <v>100</v>
      </c>
      <c r="H766">
        <v>5.6</v>
      </c>
    </row>
    <row r="767" spans="1:8" x14ac:dyDescent="0.35">
      <c r="A767">
        <v>765</v>
      </c>
      <c r="B767" t="s">
        <v>1256</v>
      </c>
      <c r="C767" t="s">
        <v>1263</v>
      </c>
      <c r="D767" t="s">
        <v>1264</v>
      </c>
      <c r="E767">
        <v>17.600000000000001</v>
      </c>
      <c r="F767">
        <v>13.6</v>
      </c>
      <c r="G767">
        <v>9.9</v>
      </c>
      <c r="H767">
        <v>23.4</v>
      </c>
    </row>
    <row r="768" spans="1:8" x14ac:dyDescent="0.35">
      <c r="A768">
        <v>766</v>
      </c>
      <c r="B768" t="s">
        <v>1256</v>
      </c>
      <c r="C768" t="s">
        <v>1265</v>
      </c>
      <c r="D768" t="s">
        <v>1266</v>
      </c>
      <c r="E768">
        <v>54.1</v>
      </c>
      <c r="F768">
        <v>12.6</v>
      </c>
      <c r="G768">
        <v>20.100000000000001</v>
      </c>
      <c r="H768">
        <v>3.6</v>
      </c>
    </row>
    <row r="769" spans="1:8" x14ac:dyDescent="0.35">
      <c r="A769">
        <v>767</v>
      </c>
      <c r="B769" t="s">
        <v>1256</v>
      </c>
      <c r="C769" t="s">
        <v>1267</v>
      </c>
      <c r="D769" t="s">
        <v>1268</v>
      </c>
      <c r="E769">
        <v>25.4</v>
      </c>
      <c r="F769">
        <v>17.5</v>
      </c>
      <c r="G769">
        <v>12.4</v>
      </c>
      <c r="H769">
        <v>21.7</v>
      </c>
    </row>
    <row r="770" spans="1:8" x14ac:dyDescent="0.35">
      <c r="A770">
        <v>768</v>
      </c>
      <c r="B770" t="s">
        <v>1256</v>
      </c>
      <c r="C770" t="s">
        <v>1269</v>
      </c>
      <c r="D770" t="s">
        <v>1270</v>
      </c>
      <c r="E770">
        <v>53.7</v>
      </c>
      <c r="F770">
        <v>16.5</v>
      </c>
      <c r="G770">
        <v>4.8</v>
      </c>
      <c r="H770">
        <v>9.8000000000000007</v>
      </c>
    </row>
    <row r="771" spans="1:8" x14ac:dyDescent="0.35">
      <c r="A771">
        <v>769</v>
      </c>
      <c r="B771" t="s">
        <v>1256</v>
      </c>
      <c r="C771" t="s">
        <v>1271</v>
      </c>
      <c r="D771" t="s">
        <v>106</v>
      </c>
      <c r="E771">
        <v>5</v>
      </c>
      <c r="F771" t="s">
        <v>303</v>
      </c>
      <c r="G771" t="s">
        <v>304</v>
      </c>
      <c r="H771">
        <v>18</v>
      </c>
    </row>
    <row r="772" spans="1:8" x14ac:dyDescent="0.35">
      <c r="A772">
        <v>770</v>
      </c>
      <c r="B772">
        <v>10.3</v>
      </c>
      <c r="C772">
        <v>7.1</v>
      </c>
      <c r="D772">
        <v>15.1</v>
      </c>
      <c r="E772">
        <v>36.9</v>
      </c>
      <c r="F772">
        <v>14.8</v>
      </c>
      <c r="G772">
        <v>35.799999999999997</v>
      </c>
      <c r="H772">
        <v>24</v>
      </c>
    </row>
    <row r="773" spans="1:8" x14ac:dyDescent="0.35">
      <c r="A773">
        <v>771</v>
      </c>
      <c r="B773" t="s">
        <v>1272</v>
      </c>
      <c r="C773" t="s">
        <v>1273</v>
      </c>
      <c r="D773" t="s">
        <v>32</v>
      </c>
      <c r="E773">
        <v>30.6</v>
      </c>
      <c r="F773">
        <v>8.9</v>
      </c>
      <c r="G773">
        <v>26.5</v>
      </c>
      <c r="H773">
        <v>10.6</v>
      </c>
    </row>
    <row r="774" spans="1:8" x14ac:dyDescent="0.35">
      <c r="A774">
        <v>772</v>
      </c>
      <c r="B774" t="s">
        <v>1272</v>
      </c>
      <c r="C774" t="s">
        <v>1274</v>
      </c>
      <c r="D774" t="s">
        <v>1275</v>
      </c>
      <c r="E774">
        <v>80.5</v>
      </c>
      <c r="F774">
        <v>7.4</v>
      </c>
      <c r="G774">
        <v>13.5</v>
      </c>
      <c r="H774">
        <v>8.8000000000000007</v>
      </c>
    </row>
    <row r="775" spans="1:8" x14ac:dyDescent="0.35">
      <c r="A775">
        <v>773</v>
      </c>
      <c r="B775" t="s">
        <v>1272</v>
      </c>
      <c r="C775" t="s">
        <v>1276</v>
      </c>
      <c r="D775" t="s">
        <v>1277</v>
      </c>
      <c r="E775">
        <v>8.9</v>
      </c>
      <c r="F775">
        <v>19.899999999999999</v>
      </c>
      <c r="G775">
        <v>19.399999999999999</v>
      </c>
      <c r="H775">
        <v>22.4</v>
      </c>
    </row>
    <row r="776" spans="1:8" x14ac:dyDescent="0.35">
      <c r="A776">
        <v>774</v>
      </c>
      <c r="B776" t="s">
        <v>1272</v>
      </c>
      <c r="C776" t="s">
        <v>1278</v>
      </c>
      <c r="D776" t="s">
        <v>1279</v>
      </c>
      <c r="E776">
        <v>4.7</v>
      </c>
      <c r="F776">
        <v>28.2</v>
      </c>
      <c r="G776">
        <v>40.200000000000003</v>
      </c>
      <c r="H776">
        <v>21.2</v>
      </c>
    </row>
    <row r="777" spans="1:8" x14ac:dyDescent="0.35">
      <c r="A777">
        <v>775</v>
      </c>
      <c r="B777" t="s">
        <v>1272</v>
      </c>
      <c r="C777" t="s">
        <v>1280</v>
      </c>
      <c r="D777" t="s">
        <v>566</v>
      </c>
      <c r="E777">
        <v>35</v>
      </c>
      <c r="F777">
        <v>8.4</v>
      </c>
      <c r="G777">
        <v>20.9</v>
      </c>
      <c r="H777">
        <v>10.199999999999999</v>
      </c>
    </row>
    <row r="778" spans="1:8" x14ac:dyDescent="0.35">
      <c r="A778">
        <v>776</v>
      </c>
      <c r="B778" t="s">
        <v>1272</v>
      </c>
      <c r="C778" t="s">
        <v>1281</v>
      </c>
      <c r="D778" t="s">
        <v>1282</v>
      </c>
      <c r="E778">
        <v>20.8</v>
      </c>
      <c r="F778">
        <v>14.2</v>
      </c>
      <c r="G778">
        <v>60.9</v>
      </c>
      <c r="H778">
        <v>13.1</v>
      </c>
    </row>
    <row r="779" spans="1:8" x14ac:dyDescent="0.35">
      <c r="A779">
        <v>777</v>
      </c>
      <c r="B779" t="s">
        <v>1272</v>
      </c>
      <c r="C779" t="s">
        <v>1283</v>
      </c>
      <c r="D779" t="s">
        <v>1284</v>
      </c>
      <c r="E779">
        <v>35.799999999999997</v>
      </c>
      <c r="F779">
        <v>13.2</v>
      </c>
      <c r="G779">
        <v>16.899999999999999</v>
      </c>
      <c r="H779">
        <v>14.8</v>
      </c>
    </row>
    <row r="780" spans="1:8" x14ac:dyDescent="0.35">
      <c r="A780">
        <v>778</v>
      </c>
      <c r="B780" t="s">
        <v>1272</v>
      </c>
      <c r="C780" t="s">
        <v>1285</v>
      </c>
      <c r="D780" t="s">
        <v>1286</v>
      </c>
      <c r="E780">
        <v>4</v>
      </c>
      <c r="F780" t="s">
        <v>303</v>
      </c>
      <c r="G780">
        <v>43.8</v>
      </c>
      <c r="H780">
        <v>17.399999999999999</v>
      </c>
    </row>
    <row r="781" spans="1:8" x14ac:dyDescent="0.35">
      <c r="A781">
        <v>779</v>
      </c>
      <c r="B781" t="s">
        <v>1287</v>
      </c>
      <c r="C781" t="s">
        <v>1288</v>
      </c>
      <c r="D781" t="s">
        <v>1289</v>
      </c>
      <c r="E781">
        <v>4</v>
      </c>
      <c r="F781" t="s">
        <v>303</v>
      </c>
      <c r="G781">
        <v>1.2</v>
      </c>
      <c r="H781">
        <v>17.600000000000001</v>
      </c>
    </row>
    <row r="782" spans="1:8" x14ac:dyDescent="0.35">
      <c r="A782">
        <v>780</v>
      </c>
      <c r="B782">
        <v>93.1</v>
      </c>
      <c r="C782">
        <v>25.9</v>
      </c>
      <c r="D782" t="s">
        <v>1287</v>
      </c>
      <c r="E782">
        <v>26.7</v>
      </c>
      <c r="F782">
        <v>14.9</v>
      </c>
      <c r="G782">
        <v>52.7</v>
      </c>
      <c r="H782">
        <v>10.9</v>
      </c>
    </row>
    <row r="783" spans="1:8" x14ac:dyDescent="0.35">
      <c r="A783">
        <v>781</v>
      </c>
      <c r="B783" t="s">
        <v>1287</v>
      </c>
      <c r="C783" t="s">
        <v>1290</v>
      </c>
      <c r="D783" t="s">
        <v>579</v>
      </c>
      <c r="E783">
        <v>14</v>
      </c>
      <c r="F783">
        <v>11.7</v>
      </c>
      <c r="G783">
        <v>38.799999999999997</v>
      </c>
      <c r="H783">
        <v>24.8</v>
      </c>
    </row>
    <row r="784" spans="1:8" x14ac:dyDescent="0.35">
      <c r="A784">
        <v>782</v>
      </c>
      <c r="B784" t="s">
        <v>1287</v>
      </c>
      <c r="C784" t="s">
        <v>1291</v>
      </c>
      <c r="D784" t="s">
        <v>26</v>
      </c>
      <c r="E784">
        <v>10.9</v>
      </c>
      <c r="F784">
        <v>20.8</v>
      </c>
      <c r="G784">
        <v>3.6</v>
      </c>
      <c r="H784">
        <v>9.1</v>
      </c>
    </row>
    <row r="785" spans="1:8" x14ac:dyDescent="0.35">
      <c r="A785">
        <v>783</v>
      </c>
      <c r="B785" t="s">
        <v>1287</v>
      </c>
      <c r="C785" t="s">
        <v>1292</v>
      </c>
      <c r="D785" t="s">
        <v>327</v>
      </c>
      <c r="E785">
        <v>4</v>
      </c>
      <c r="F785" t="s">
        <v>303</v>
      </c>
      <c r="G785">
        <v>1.4</v>
      </c>
      <c r="H785">
        <v>18.5</v>
      </c>
    </row>
    <row r="786" spans="1:8" x14ac:dyDescent="0.35">
      <c r="A786">
        <v>784</v>
      </c>
      <c r="B786">
        <v>88.1</v>
      </c>
      <c r="C786">
        <v>21.2</v>
      </c>
      <c r="D786" t="s">
        <v>1287</v>
      </c>
      <c r="E786">
        <v>4.9000000000000004</v>
      </c>
      <c r="F786">
        <v>12.6</v>
      </c>
      <c r="G786">
        <v>50.5</v>
      </c>
      <c r="H786">
        <v>7</v>
      </c>
    </row>
    <row r="787" spans="1:8" x14ac:dyDescent="0.35">
      <c r="A787">
        <v>785</v>
      </c>
      <c r="B787" t="s">
        <v>1287</v>
      </c>
      <c r="C787" t="s">
        <v>1293</v>
      </c>
      <c r="D787" t="s">
        <v>639</v>
      </c>
      <c r="E787">
        <v>39.700000000000003</v>
      </c>
      <c r="F787">
        <v>12.1</v>
      </c>
      <c r="G787">
        <v>5.9</v>
      </c>
      <c r="H787">
        <v>14.7</v>
      </c>
    </row>
    <row r="788" spans="1:8" x14ac:dyDescent="0.35">
      <c r="A788">
        <v>786</v>
      </c>
      <c r="B788" t="s">
        <v>1287</v>
      </c>
      <c r="C788" t="s">
        <v>1294</v>
      </c>
      <c r="D788" t="s">
        <v>1295</v>
      </c>
      <c r="E788">
        <v>7.8</v>
      </c>
      <c r="F788">
        <v>14.1</v>
      </c>
      <c r="G788">
        <v>67.8</v>
      </c>
      <c r="H788">
        <v>17.7</v>
      </c>
    </row>
    <row r="789" spans="1:8" x14ac:dyDescent="0.35">
      <c r="A789">
        <v>787</v>
      </c>
      <c r="B789" t="s">
        <v>1287</v>
      </c>
      <c r="C789" t="s">
        <v>1296</v>
      </c>
      <c r="D789" t="s">
        <v>888</v>
      </c>
      <c r="E789">
        <v>5</v>
      </c>
      <c r="F789" t="s">
        <v>303</v>
      </c>
      <c r="G789" t="s">
        <v>304</v>
      </c>
      <c r="H789">
        <v>1.2</v>
      </c>
    </row>
    <row r="790" spans="1:8" x14ac:dyDescent="0.35">
      <c r="A790">
        <v>788</v>
      </c>
      <c r="B790">
        <v>15.3</v>
      </c>
      <c r="C790">
        <v>96</v>
      </c>
      <c r="D790">
        <v>13.7</v>
      </c>
      <c r="E790">
        <v>30.4</v>
      </c>
      <c r="F790">
        <v>5.6</v>
      </c>
      <c r="G790">
        <v>11.6</v>
      </c>
      <c r="H790">
        <v>9.1999999999999993</v>
      </c>
    </row>
    <row r="791" spans="1:8" x14ac:dyDescent="0.35">
      <c r="A791">
        <v>789</v>
      </c>
      <c r="B791" t="s">
        <v>1287</v>
      </c>
      <c r="C791" t="s">
        <v>1297</v>
      </c>
      <c r="D791" t="s">
        <v>1298</v>
      </c>
      <c r="E791">
        <v>10.6</v>
      </c>
      <c r="F791">
        <v>13.3</v>
      </c>
      <c r="G791">
        <v>10.3</v>
      </c>
      <c r="H791">
        <v>27</v>
      </c>
    </row>
    <row r="792" spans="1:8" x14ac:dyDescent="0.35">
      <c r="A792">
        <v>790</v>
      </c>
      <c r="B792" t="s">
        <v>1287</v>
      </c>
      <c r="C792" t="s">
        <v>1299</v>
      </c>
      <c r="D792" t="s">
        <v>1300</v>
      </c>
      <c r="E792">
        <v>56.6</v>
      </c>
      <c r="F792">
        <v>15.1</v>
      </c>
      <c r="G792">
        <v>4.5</v>
      </c>
      <c r="H792">
        <v>6</v>
      </c>
    </row>
    <row r="793" spans="1:8" x14ac:dyDescent="0.35">
      <c r="A793">
        <v>791</v>
      </c>
      <c r="B793" t="s">
        <v>1301</v>
      </c>
      <c r="C793" t="s">
        <v>1302</v>
      </c>
      <c r="D793" t="s">
        <v>199</v>
      </c>
      <c r="E793">
        <v>2.8</v>
      </c>
      <c r="F793">
        <v>15.9</v>
      </c>
      <c r="G793">
        <v>29.7</v>
      </c>
      <c r="H793">
        <v>13.6</v>
      </c>
    </row>
    <row r="794" spans="1:8" x14ac:dyDescent="0.35">
      <c r="A794">
        <v>792</v>
      </c>
      <c r="B794" t="s">
        <v>1301</v>
      </c>
      <c r="C794" t="s">
        <v>1303</v>
      </c>
      <c r="D794" t="s">
        <v>1304</v>
      </c>
      <c r="E794">
        <v>13.4</v>
      </c>
      <c r="F794">
        <v>19.100000000000001</v>
      </c>
      <c r="G794">
        <v>17.5</v>
      </c>
      <c r="H794">
        <v>34.799999999999997</v>
      </c>
    </row>
    <row r="795" spans="1:8" x14ac:dyDescent="0.35">
      <c r="A795">
        <v>793</v>
      </c>
      <c r="B795" t="s">
        <v>1301</v>
      </c>
      <c r="C795" t="s">
        <v>1305</v>
      </c>
      <c r="D795" t="s">
        <v>1306</v>
      </c>
      <c r="E795">
        <v>27.9</v>
      </c>
      <c r="F795">
        <v>5.0999999999999996</v>
      </c>
      <c r="G795">
        <v>6.4</v>
      </c>
      <c r="H795">
        <v>3.3</v>
      </c>
    </row>
    <row r="796" spans="1:8" x14ac:dyDescent="0.35">
      <c r="A796">
        <v>794</v>
      </c>
      <c r="B796" t="s">
        <v>1301</v>
      </c>
      <c r="C796" t="s">
        <v>1307</v>
      </c>
      <c r="D796" t="s">
        <v>1084</v>
      </c>
      <c r="E796">
        <v>46.2</v>
      </c>
      <c r="F796">
        <v>9.6</v>
      </c>
      <c r="G796">
        <v>37.4</v>
      </c>
      <c r="H796">
        <v>12.7</v>
      </c>
    </row>
    <row r="797" spans="1:8" x14ac:dyDescent="0.35">
      <c r="A797">
        <v>795</v>
      </c>
      <c r="B797" t="s">
        <v>1301</v>
      </c>
      <c r="C797" t="s">
        <v>1308</v>
      </c>
      <c r="D797" t="s">
        <v>1309</v>
      </c>
      <c r="E797">
        <v>62.8</v>
      </c>
      <c r="F797">
        <v>9.1</v>
      </c>
      <c r="G797">
        <v>5.8</v>
      </c>
      <c r="H797">
        <v>7.9</v>
      </c>
    </row>
    <row r="798" spans="1:8" x14ac:dyDescent="0.35">
      <c r="A798">
        <v>796</v>
      </c>
      <c r="B798" t="s">
        <v>1301</v>
      </c>
      <c r="C798" t="s">
        <v>1310</v>
      </c>
      <c r="D798" t="s">
        <v>1311</v>
      </c>
      <c r="E798">
        <v>3.3</v>
      </c>
      <c r="F798">
        <v>18.2</v>
      </c>
      <c r="G798">
        <v>32.200000000000003</v>
      </c>
      <c r="H798">
        <v>43.3</v>
      </c>
    </row>
    <row r="799" spans="1:8" x14ac:dyDescent="0.35">
      <c r="A799">
        <v>797</v>
      </c>
      <c r="B799" t="s">
        <v>1301</v>
      </c>
      <c r="C799" t="s">
        <v>1312</v>
      </c>
      <c r="D799" t="s">
        <v>138</v>
      </c>
      <c r="E799">
        <v>6.2</v>
      </c>
      <c r="F799">
        <v>17.8</v>
      </c>
      <c r="G799">
        <v>15.9</v>
      </c>
      <c r="H799">
        <v>23.8</v>
      </c>
    </row>
    <row r="800" spans="1:8" x14ac:dyDescent="0.35">
      <c r="A800">
        <v>798</v>
      </c>
      <c r="B800" t="s">
        <v>1301</v>
      </c>
      <c r="C800" t="s">
        <v>1313</v>
      </c>
      <c r="D800" t="s">
        <v>428</v>
      </c>
      <c r="E800">
        <v>13.9</v>
      </c>
      <c r="F800">
        <v>14.8</v>
      </c>
      <c r="G800">
        <v>11.3</v>
      </c>
      <c r="H800">
        <v>23.9</v>
      </c>
    </row>
    <row r="801" spans="1:8" x14ac:dyDescent="0.35">
      <c r="A801">
        <v>799</v>
      </c>
      <c r="B801" t="s">
        <v>1301</v>
      </c>
      <c r="C801" t="s">
        <v>1314</v>
      </c>
      <c r="D801" t="s">
        <v>991</v>
      </c>
      <c r="E801">
        <v>17.7</v>
      </c>
      <c r="F801">
        <v>9.6</v>
      </c>
      <c r="G801">
        <v>15.6</v>
      </c>
      <c r="H801">
        <v>48.1</v>
      </c>
    </row>
    <row r="802" spans="1:8" x14ac:dyDescent="0.35">
      <c r="A802">
        <v>800</v>
      </c>
      <c r="B802" t="s">
        <v>1301</v>
      </c>
      <c r="C802" t="s">
        <v>1315</v>
      </c>
      <c r="D802" t="s">
        <v>1316</v>
      </c>
      <c r="E802">
        <v>16.399999999999999</v>
      </c>
      <c r="F802">
        <v>7.2</v>
      </c>
      <c r="G802">
        <v>5.0999999999999996</v>
      </c>
      <c r="H802">
        <v>6.2</v>
      </c>
    </row>
    <row r="803" spans="1:8" x14ac:dyDescent="0.35">
      <c r="A803">
        <v>801</v>
      </c>
      <c r="B803" t="s">
        <v>1301</v>
      </c>
      <c r="C803" t="s">
        <v>1317</v>
      </c>
      <c r="D803" t="s">
        <v>1318</v>
      </c>
      <c r="E803">
        <v>4.7</v>
      </c>
      <c r="F803">
        <v>17.600000000000001</v>
      </c>
      <c r="G803">
        <v>45.6</v>
      </c>
      <c r="H803">
        <v>16.399999999999999</v>
      </c>
    </row>
    <row r="804" spans="1:8" x14ac:dyDescent="0.35">
      <c r="A804">
        <v>802</v>
      </c>
      <c r="B804" t="s">
        <v>1301</v>
      </c>
      <c r="C804" t="s">
        <v>1319</v>
      </c>
      <c r="D804" t="s">
        <v>789</v>
      </c>
      <c r="E804">
        <v>13.7</v>
      </c>
      <c r="F804">
        <v>15.9</v>
      </c>
      <c r="G804">
        <v>31.1</v>
      </c>
      <c r="H804">
        <v>25.6</v>
      </c>
    </row>
    <row r="805" spans="1:8" x14ac:dyDescent="0.35">
      <c r="A805">
        <v>803</v>
      </c>
      <c r="B805" t="s">
        <v>1301</v>
      </c>
      <c r="C805" t="s">
        <v>1320</v>
      </c>
      <c r="D805" t="s">
        <v>1321</v>
      </c>
      <c r="E805">
        <v>55.4</v>
      </c>
      <c r="F805">
        <v>5.7</v>
      </c>
      <c r="G805">
        <v>15.6</v>
      </c>
      <c r="H805">
        <v>4.5999999999999996</v>
      </c>
    </row>
    <row r="806" spans="1:8" x14ac:dyDescent="0.35">
      <c r="A806">
        <v>804</v>
      </c>
      <c r="B806" t="s">
        <v>1322</v>
      </c>
      <c r="C806" t="s">
        <v>1323</v>
      </c>
      <c r="D806" t="s">
        <v>1324</v>
      </c>
      <c r="E806">
        <v>5</v>
      </c>
      <c r="F806" t="s">
        <v>303</v>
      </c>
      <c r="G806">
        <v>22</v>
      </c>
      <c r="H806">
        <v>14</v>
      </c>
    </row>
    <row r="807" spans="1:8" x14ac:dyDescent="0.35">
      <c r="A807">
        <v>805</v>
      </c>
      <c r="B807">
        <v>21.4</v>
      </c>
      <c r="C807">
        <v>10.9</v>
      </c>
      <c r="D807" t="s">
        <v>1322</v>
      </c>
      <c r="E807">
        <v>3.6</v>
      </c>
      <c r="F807">
        <v>28.3</v>
      </c>
      <c r="G807">
        <v>6.6</v>
      </c>
      <c r="H807">
        <v>29.9</v>
      </c>
    </row>
    <row r="808" spans="1:8" x14ac:dyDescent="0.35">
      <c r="A808">
        <v>806</v>
      </c>
      <c r="B808" t="s">
        <v>1322</v>
      </c>
      <c r="C808" t="s">
        <v>1325</v>
      </c>
      <c r="D808" t="s">
        <v>199</v>
      </c>
      <c r="E808">
        <v>24.5</v>
      </c>
      <c r="F808">
        <v>6.7</v>
      </c>
      <c r="G808">
        <v>25.2</v>
      </c>
      <c r="H808">
        <v>7.4</v>
      </c>
    </row>
    <row r="809" spans="1:8" x14ac:dyDescent="0.35">
      <c r="A809">
        <v>807</v>
      </c>
      <c r="B809" t="s">
        <v>1322</v>
      </c>
      <c r="C809" t="s">
        <v>1326</v>
      </c>
      <c r="D809" t="s">
        <v>1327</v>
      </c>
      <c r="E809">
        <v>2.1</v>
      </c>
      <c r="F809">
        <v>15.1</v>
      </c>
      <c r="G809">
        <v>60.9</v>
      </c>
      <c r="H809">
        <v>14.6</v>
      </c>
    </row>
    <row r="810" spans="1:8" x14ac:dyDescent="0.35">
      <c r="A810">
        <v>808</v>
      </c>
      <c r="B810" t="s">
        <v>1322</v>
      </c>
      <c r="C810" t="s">
        <v>1328</v>
      </c>
      <c r="D810" t="s">
        <v>947</v>
      </c>
      <c r="E810">
        <v>5</v>
      </c>
      <c r="F810" t="s">
        <v>303</v>
      </c>
      <c r="G810">
        <v>1.3</v>
      </c>
      <c r="H810">
        <v>15.6</v>
      </c>
    </row>
    <row r="811" spans="1:8" x14ac:dyDescent="0.35">
      <c r="A811">
        <v>809</v>
      </c>
      <c r="B811" t="s">
        <v>1322</v>
      </c>
      <c r="C811" t="s">
        <v>1329</v>
      </c>
      <c r="D811" t="s">
        <v>1330</v>
      </c>
      <c r="E811">
        <v>29.7</v>
      </c>
      <c r="F811">
        <v>7.7</v>
      </c>
      <c r="G811">
        <v>7.7</v>
      </c>
      <c r="H811">
        <v>10.4</v>
      </c>
    </row>
    <row r="812" spans="1:8" x14ac:dyDescent="0.35">
      <c r="A812">
        <v>810</v>
      </c>
      <c r="B812" t="s">
        <v>1322</v>
      </c>
      <c r="C812" t="s">
        <v>1331</v>
      </c>
      <c r="D812" t="s">
        <v>413</v>
      </c>
      <c r="E812">
        <v>13.4</v>
      </c>
      <c r="F812">
        <v>15.5</v>
      </c>
      <c r="G812">
        <v>8.5</v>
      </c>
      <c r="H812">
        <v>17.8</v>
      </c>
    </row>
    <row r="813" spans="1:8" x14ac:dyDescent="0.35">
      <c r="A813">
        <v>811</v>
      </c>
      <c r="B813" t="s">
        <v>1322</v>
      </c>
      <c r="C813" t="s">
        <v>1332</v>
      </c>
      <c r="D813" t="s">
        <v>119</v>
      </c>
      <c r="E813">
        <v>21.9</v>
      </c>
      <c r="F813">
        <v>13.8</v>
      </c>
      <c r="G813">
        <v>59.1</v>
      </c>
      <c r="H813">
        <v>12.2</v>
      </c>
    </row>
    <row r="814" spans="1:8" x14ac:dyDescent="0.35">
      <c r="A814">
        <v>812</v>
      </c>
      <c r="B814" t="s">
        <v>1322</v>
      </c>
      <c r="C814" t="s">
        <v>1333</v>
      </c>
      <c r="D814" t="s">
        <v>68</v>
      </c>
      <c r="E814">
        <v>22.9</v>
      </c>
      <c r="F814">
        <v>9.1</v>
      </c>
      <c r="G814">
        <v>6</v>
      </c>
      <c r="H814">
        <v>7.2</v>
      </c>
    </row>
    <row r="815" spans="1:8" x14ac:dyDescent="0.35">
      <c r="A815">
        <v>813</v>
      </c>
      <c r="B815" t="s">
        <v>1322</v>
      </c>
      <c r="C815" t="s">
        <v>1334</v>
      </c>
      <c r="D815" t="s">
        <v>1335</v>
      </c>
      <c r="E815">
        <v>83</v>
      </c>
      <c r="F815">
        <v>6.7</v>
      </c>
      <c r="G815">
        <v>2.4</v>
      </c>
      <c r="H815">
        <v>6.1</v>
      </c>
    </row>
    <row r="816" spans="1:8" x14ac:dyDescent="0.35">
      <c r="A816">
        <v>814</v>
      </c>
      <c r="B816" t="s">
        <v>1322</v>
      </c>
      <c r="C816" t="s">
        <v>1336</v>
      </c>
      <c r="D816" t="s">
        <v>269</v>
      </c>
      <c r="E816">
        <v>3.9</v>
      </c>
      <c r="F816">
        <v>17.899999999999999</v>
      </c>
      <c r="G816">
        <v>100</v>
      </c>
      <c r="H816">
        <v>6.2</v>
      </c>
    </row>
    <row r="817" spans="1:8" x14ac:dyDescent="0.35">
      <c r="A817">
        <v>815</v>
      </c>
      <c r="B817" t="s">
        <v>1322</v>
      </c>
      <c r="C817" t="s">
        <v>1337</v>
      </c>
      <c r="D817" t="s">
        <v>1338</v>
      </c>
      <c r="E817">
        <v>26</v>
      </c>
      <c r="F817">
        <v>12.9</v>
      </c>
      <c r="G817">
        <v>33.700000000000003</v>
      </c>
      <c r="H817">
        <v>21.7</v>
      </c>
    </row>
    <row r="818" spans="1:8" x14ac:dyDescent="0.35">
      <c r="A818">
        <v>816</v>
      </c>
      <c r="B818" t="s">
        <v>1322</v>
      </c>
      <c r="C818" t="s">
        <v>1339</v>
      </c>
      <c r="D818" t="s">
        <v>1340</v>
      </c>
      <c r="E818">
        <v>29.9</v>
      </c>
      <c r="F818">
        <v>16.8</v>
      </c>
      <c r="G818">
        <v>5.2</v>
      </c>
      <c r="H818">
        <v>23.8</v>
      </c>
    </row>
    <row r="819" spans="1:8" x14ac:dyDescent="0.35">
      <c r="A819">
        <v>817</v>
      </c>
      <c r="B819" t="s">
        <v>1322</v>
      </c>
      <c r="C819" t="s">
        <v>1341</v>
      </c>
      <c r="D819" t="s">
        <v>1035</v>
      </c>
      <c r="E819">
        <v>7.8</v>
      </c>
      <c r="F819">
        <v>10</v>
      </c>
      <c r="G819">
        <v>85.6</v>
      </c>
      <c r="H819">
        <v>26.7</v>
      </c>
    </row>
    <row r="820" spans="1:8" x14ac:dyDescent="0.35">
      <c r="A820">
        <v>818</v>
      </c>
      <c r="B820" t="s">
        <v>1322</v>
      </c>
      <c r="C820" t="s">
        <v>1342</v>
      </c>
      <c r="D820" t="s">
        <v>1343</v>
      </c>
      <c r="E820">
        <v>25.1</v>
      </c>
      <c r="F820">
        <v>7.6</v>
      </c>
      <c r="G820">
        <v>16.5</v>
      </c>
      <c r="H820">
        <v>7.9</v>
      </c>
    </row>
    <row r="821" spans="1:8" x14ac:dyDescent="0.35">
      <c r="A821">
        <v>819</v>
      </c>
      <c r="B821" t="s">
        <v>1322</v>
      </c>
      <c r="C821" t="s">
        <v>1344</v>
      </c>
      <c r="D821" t="s">
        <v>947</v>
      </c>
      <c r="E821">
        <v>5</v>
      </c>
      <c r="F821" t="s">
        <v>303</v>
      </c>
      <c r="G821">
        <v>2.5</v>
      </c>
      <c r="H821">
        <v>6.6</v>
      </c>
    </row>
    <row r="822" spans="1:8" x14ac:dyDescent="0.35">
      <c r="A822">
        <v>820</v>
      </c>
      <c r="B822">
        <v>65.5</v>
      </c>
      <c r="C822">
        <v>23</v>
      </c>
      <c r="D822" t="s">
        <v>1322</v>
      </c>
      <c r="E822">
        <v>12.9</v>
      </c>
      <c r="F822">
        <v>12.2</v>
      </c>
      <c r="G822">
        <v>81.599999999999994</v>
      </c>
      <c r="H822">
        <v>7.4</v>
      </c>
    </row>
    <row r="823" spans="1:8" x14ac:dyDescent="0.35">
      <c r="A823">
        <v>821</v>
      </c>
      <c r="B823" t="s">
        <v>1322</v>
      </c>
      <c r="C823" t="s">
        <v>1345</v>
      </c>
      <c r="D823" t="s">
        <v>778</v>
      </c>
      <c r="E823">
        <v>4</v>
      </c>
      <c r="F823" t="s">
        <v>303</v>
      </c>
      <c r="G823">
        <v>2.2000000000000002</v>
      </c>
      <c r="H823">
        <v>25.2</v>
      </c>
    </row>
    <row r="824" spans="1:8" x14ac:dyDescent="0.35">
      <c r="A824">
        <v>822</v>
      </c>
      <c r="B824">
        <v>6.5</v>
      </c>
      <c r="C824">
        <v>28.8</v>
      </c>
      <c r="D824" t="s">
        <v>1322</v>
      </c>
      <c r="E824">
        <v>65.900000000000006</v>
      </c>
      <c r="F824">
        <v>7.5</v>
      </c>
      <c r="G824">
        <v>9.9</v>
      </c>
      <c r="H824">
        <v>10.8</v>
      </c>
    </row>
    <row r="825" spans="1:8" x14ac:dyDescent="0.35">
      <c r="A825">
        <v>823</v>
      </c>
      <c r="B825" t="s">
        <v>1322</v>
      </c>
      <c r="C825" t="s">
        <v>1346</v>
      </c>
      <c r="D825" t="s">
        <v>199</v>
      </c>
      <c r="E825">
        <v>11.9</v>
      </c>
      <c r="F825">
        <v>14.5</v>
      </c>
      <c r="G825">
        <v>25.8</v>
      </c>
      <c r="H825">
        <v>15.6</v>
      </c>
    </row>
    <row r="826" spans="1:8" x14ac:dyDescent="0.35">
      <c r="A826">
        <v>824</v>
      </c>
      <c r="B826" t="s">
        <v>1322</v>
      </c>
      <c r="C826" t="s">
        <v>1347</v>
      </c>
      <c r="D826" t="s">
        <v>969</v>
      </c>
      <c r="E826">
        <v>22.3</v>
      </c>
      <c r="F826">
        <v>13.4</v>
      </c>
      <c r="G826">
        <v>22.9</v>
      </c>
      <c r="H826">
        <v>13.5</v>
      </c>
    </row>
    <row r="827" spans="1:8" x14ac:dyDescent="0.35">
      <c r="A827">
        <v>825</v>
      </c>
      <c r="B827" t="s">
        <v>1322</v>
      </c>
      <c r="C827" t="s">
        <v>1348</v>
      </c>
      <c r="D827" t="s">
        <v>1349</v>
      </c>
      <c r="E827">
        <v>33.299999999999997</v>
      </c>
      <c r="F827">
        <v>7.8</v>
      </c>
      <c r="G827">
        <v>25.8</v>
      </c>
      <c r="H827">
        <v>4.5999999999999996</v>
      </c>
    </row>
    <row r="828" spans="1:8" x14ac:dyDescent="0.35">
      <c r="A828">
        <v>826</v>
      </c>
      <c r="B828" t="s">
        <v>1322</v>
      </c>
      <c r="C828" t="s">
        <v>1350</v>
      </c>
      <c r="D828" t="s">
        <v>214</v>
      </c>
      <c r="E828">
        <v>17.600000000000001</v>
      </c>
      <c r="F828">
        <v>7</v>
      </c>
      <c r="G828">
        <v>68.5</v>
      </c>
      <c r="H828">
        <v>19.100000000000001</v>
      </c>
    </row>
    <row r="829" spans="1:8" x14ac:dyDescent="0.35">
      <c r="A829">
        <v>827</v>
      </c>
      <c r="B829" t="s">
        <v>1322</v>
      </c>
      <c r="C829" t="s">
        <v>1351</v>
      </c>
      <c r="D829" t="s">
        <v>1352</v>
      </c>
      <c r="E829">
        <v>57.4</v>
      </c>
      <c r="F829">
        <v>6.5</v>
      </c>
      <c r="G829">
        <v>8.8000000000000007</v>
      </c>
      <c r="H829">
        <v>9.1999999999999993</v>
      </c>
    </row>
    <row r="830" spans="1:8" x14ac:dyDescent="0.35">
      <c r="A830">
        <v>828</v>
      </c>
      <c r="B830" t="s">
        <v>1322</v>
      </c>
      <c r="C830" t="s">
        <v>1353</v>
      </c>
      <c r="D830" t="s">
        <v>1079</v>
      </c>
      <c r="E830">
        <v>1.5</v>
      </c>
      <c r="F830">
        <v>21</v>
      </c>
      <c r="G830">
        <v>81.900000000000006</v>
      </c>
      <c r="H830">
        <v>22.9</v>
      </c>
    </row>
    <row r="831" spans="1:8" x14ac:dyDescent="0.35">
      <c r="A831">
        <v>829</v>
      </c>
      <c r="B831" t="s">
        <v>1322</v>
      </c>
      <c r="C831" t="s">
        <v>1354</v>
      </c>
      <c r="D831" t="s">
        <v>1355</v>
      </c>
      <c r="E831">
        <v>1.3</v>
      </c>
      <c r="F831">
        <v>27</v>
      </c>
      <c r="G831">
        <v>46.6</v>
      </c>
      <c r="H831">
        <v>33.9</v>
      </c>
    </row>
    <row r="832" spans="1:8" x14ac:dyDescent="0.35">
      <c r="A832">
        <v>830</v>
      </c>
      <c r="B832" t="s">
        <v>1322</v>
      </c>
      <c r="C832" t="s">
        <v>1356</v>
      </c>
      <c r="D832" t="s">
        <v>1357</v>
      </c>
      <c r="E832">
        <v>2</v>
      </c>
      <c r="F832">
        <v>41.9</v>
      </c>
      <c r="G832">
        <v>7</v>
      </c>
      <c r="H832">
        <v>29</v>
      </c>
    </row>
    <row r="833" spans="1:8" x14ac:dyDescent="0.35">
      <c r="A833">
        <v>831</v>
      </c>
      <c r="B833" t="s">
        <v>1322</v>
      </c>
      <c r="C833" t="s">
        <v>1358</v>
      </c>
      <c r="D833" t="s">
        <v>1359</v>
      </c>
      <c r="E833">
        <v>35.700000000000003</v>
      </c>
      <c r="F833">
        <v>14.3</v>
      </c>
      <c r="G833">
        <v>16.3</v>
      </c>
      <c r="H833">
        <v>9.6999999999999993</v>
      </c>
    </row>
    <row r="834" spans="1:8" x14ac:dyDescent="0.35">
      <c r="A834">
        <v>832</v>
      </c>
      <c r="B834" t="s">
        <v>1322</v>
      </c>
      <c r="C834" t="s">
        <v>1360</v>
      </c>
      <c r="D834" t="s">
        <v>246</v>
      </c>
      <c r="E834">
        <v>9</v>
      </c>
      <c r="F834">
        <v>14.9</v>
      </c>
      <c r="G834">
        <v>98.8</v>
      </c>
      <c r="H834">
        <v>6.3</v>
      </c>
    </row>
    <row r="835" spans="1:8" x14ac:dyDescent="0.35">
      <c r="A835">
        <v>833</v>
      </c>
      <c r="B835" t="s">
        <v>1322</v>
      </c>
      <c r="C835" t="s">
        <v>1361</v>
      </c>
      <c r="D835" t="s">
        <v>1362</v>
      </c>
      <c r="E835">
        <v>16.8</v>
      </c>
      <c r="F835">
        <v>16</v>
      </c>
      <c r="G835">
        <v>23</v>
      </c>
      <c r="H835">
        <v>7.4</v>
      </c>
    </row>
    <row r="836" spans="1:8" x14ac:dyDescent="0.35">
      <c r="A836">
        <v>834</v>
      </c>
      <c r="B836" t="s">
        <v>1322</v>
      </c>
      <c r="C836" t="s">
        <v>1363</v>
      </c>
      <c r="D836" t="s">
        <v>1364</v>
      </c>
      <c r="E836">
        <v>19.899999999999999</v>
      </c>
      <c r="F836">
        <v>20.2</v>
      </c>
      <c r="G836">
        <v>7.5</v>
      </c>
      <c r="H836">
        <v>4.8</v>
      </c>
    </row>
    <row r="837" spans="1:8" x14ac:dyDescent="0.35">
      <c r="A837">
        <v>835</v>
      </c>
      <c r="B837" t="s">
        <v>1322</v>
      </c>
      <c r="C837" t="s">
        <v>1365</v>
      </c>
      <c r="D837" t="s">
        <v>1366</v>
      </c>
      <c r="E837">
        <v>15.5</v>
      </c>
      <c r="F837">
        <v>17.2</v>
      </c>
      <c r="G837">
        <v>21.7</v>
      </c>
      <c r="H837">
        <v>35.700000000000003</v>
      </c>
    </row>
    <row r="838" spans="1:8" x14ac:dyDescent="0.35">
      <c r="A838">
        <v>836</v>
      </c>
      <c r="B838" t="s">
        <v>1322</v>
      </c>
      <c r="C838" t="s">
        <v>1367</v>
      </c>
      <c r="D838" t="s">
        <v>1368</v>
      </c>
      <c r="E838">
        <v>2.6</v>
      </c>
      <c r="F838">
        <v>15.8</v>
      </c>
      <c r="G838">
        <v>33.299999999999997</v>
      </c>
      <c r="H838">
        <v>32.799999999999997</v>
      </c>
    </row>
    <row r="839" spans="1:8" x14ac:dyDescent="0.35">
      <c r="A839">
        <v>837</v>
      </c>
      <c r="B839" t="s">
        <v>1322</v>
      </c>
      <c r="C839" t="s">
        <v>1369</v>
      </c>
      <c r="D839" t="s">
        <v>1370</v>
      </c>
      <c r="E839">
        <v>11</v>
      </c>
      <c r="F839">
        <v>22.7</v>
      </c>
      <c r="G839">
        <v>4.9000000000000004</v>
      </c>
      <c r="H839">
        <v>10</v>
      </c>
    </row>
    <row r="840" spans="1:8" x14ac:dyDescent="0.35">
      <c r="A840">
        <v>838</v>
      </c>
      <c r="B840" t="s">
        <v>1322</v>
      </c>
      <c r="C840" t="s">
        <v>1371</v>
      </c>
      <c r="D840" t="s">
        <v>1372</v>
      </c>
      <c r="E840">
        <v>7.7</v>
      </c>
      <c r="F840">
        <v>19.8</v>
      </c>
      <c r="G840">
        <v>8.4</v>
      </c>
      <c r="H840">
        <v>30.2</v>
      </c>
    </row>
    <row r="841" spans="1:8" x14ac:dyDescent="0.35">
      <c r="A841">
        <v>839</v>
      </c>
      <c r="B841" t="s">
        <v>1322</v>
      </c>
      <c r="C841" t="s">
        <v>1373</v>
      </c>
      <c r="D841" t="s">
        <v>590</v>
      </c>
      <c r="E841">
        <v>27.9</v>
      </c>
      <c r="F841">
        <v>17.7</v>
      </c>
      <c r="G841">
        <v>18.399999999999999</v>
      </c>
      <c r="H841">
        <v>9.9</v>
      </c>
    </row>
    <row r="842" spans="1:8" x14ac:dyDescent="0.35">
      <c r="A842">
        <v>840</v>
      </c>
      <c r="B842" t="s">
        <v>1322</v>
      </c>
      <c r="C842" t="s">
        <v>1374</v>
      </c>
      <c r="D842" t="s">
        <v>41</v>
      </c>
      <c r="E842">
        <v>21.8</v>
      </c>
      <c r="F842">
        <v>8.5</v>
      </c>
      <c r="G842">
        <v>100</v>
      </c>
      <c r="H842">
        <v>5.2</v>
      </c>
    </row>
    <row r="843" spans="1:8" x14ac:dyDescent="0.35">
      <c r="A843">
        <v>841</v>
      </c>
      <c r="B843" t="s">
        <v>1322</v>
      </c>
      <c r="C843" t="s">
        <v>1375</v>
      </c>
      <c r="D843" t="s">
        <v>41</v>
      </c>
      <c r="E843">
        <v>17.399999999999999</v>
      </c>
      <c r="F843">
        <v>12.4</v>
      </c>
      <c r="G843">
        <v>19.600000000000001</v>
      </c>
      <c r="H843">
        <v>11</v>
      </c>
    </row>
    <row r="844" spans="1:8" x14ac:dyDescent="0.35">
      <c r="A844">
        <v>842</v>
      </c>
      <c r="B844" t="s">
        <v>1322</v>
      </c>
      <c r="C844" t="s">
        <v>1376</v>
      </c>
      <c r="D844" t="s">
        <v>1377</v>
      </c>
      <c r="E844">
        <v>51.5</v>
      </c>
      <c r="F844">
        <v>12.5</v>
      </c>
      <c r="G844">
        <v>4.3</v>
      </c>
      <c r="H844">
        <v>9.1999999999999993</v>
      </c>
    </row>
    <row r="845" spans="1:8" x14ac:dyDescent="0.35">
      <c r="A845">
        <v>843</v>
      </c>
      <c r="B845" t="s">
        <v>1322</v>
      </c>
      <c r="C845" t="s">
        <v>1378</v>
      </c>
      <c r="D845" t="s">
        <v>1379</v>
      </c>
      <c r="E845">
        <v>46.3</v>
      </c>
      <c r="F845">
        <v>8.3000000000000007</v>
      </c>
      <c r="G845">
        <v>4.0999999999999996</v>
      </c>
      <c r="H845">
        <v>9.6999999999999993</v>
      </c>
    </row>
    <row r="846" spans="1:8" x14ac:dyDescent="0.35">
      <c r="A846">
        <v>844</v>
      </c>
      <c r="B846" t="s">
        <v>1322</v>
      </c>
      <c r="C846" t="s">
        <v>1380</v>
      </c>
      <c r="D846" t="s">
        <v>1381</v>
      </c>
      <c r="E846">
        <v>38.9</v>
      </c>
      <c r="F846">
        <v>7.8</v>
      </c>
      <c r="G846">
        <v>5.2</v>
      </c>
      <c r="H846">
        <v>10.9</v>
      </c>
    </row>
    <row r="847" spans="1:8" x14ac:dyDescent="0.35">
      <c r="A847">
        <v>845</v>
      </c>
      <c r="B847" t="s">
        <v>1322</v>
      </c>
      <c r="C847" t="s">
        <v>1382</v>
      </c>
      <c r="D847" t="s">
        <v>1383</v>
      </c>
      <c r="E847">
        <v>32.1</v>
      </c>
      <c r="F847">
        <v>11.5</v>
      </c>
      <c r="G847">
        <v>19.8</v>
      </c>
      <c r="H847">
        <v>11.1</v>
      </c>
    </row>
    <row r="848" spans="1:8" x14ac:dyDescent="0.35">
      <c r="A848">
        <v>846</v>
      </c>
      <c r="B848" t="s">
        <v>1322</v>
      </c>
      <c r="C848" t="s">
        <v>1384</v>
      </c>
      <c r="D848" t="s">
        <v>1385</v>
      </c>
      <c r="E848">
        <v>41.5</v>
      </c>
      <c r="F848">
        <v>20.8</v>
      </c>
      <c r="G848">
        <v>6.9</v>
      </c>
      <c r="H848">
        <v>7.5</v>
      </c>
    </row>
    <row r="849" spans="1:8" x14ac:dyDescent="0.35">
      <c r="A849">
        <v>847</v>
      </c>
      <c r="B849" t="s">
        <v>1322</v>
      </c>
      <c r="C849" t="s">
        <v>1386</v>
      </c>
      <c r="D849" t="s">
        <v>1352</v>
      </c>
      <c r="E849">
        <v>4.2</v>
      </c>
      <c r="F849">
        <v>32.200000000000003</v>
      </c>
      <c r="G849">
        <v>5.4</v>
      </c>
      <c r="H849">
        <v>38.799999999999997</v>
      </c>
    </row>
    <row r="850" spans="1:8" x14ac:dyDescent="0.35">
      <c r="A850">
        <v>848</v>
      </c>
      <c r="B850" t="s">
        <v>1322</v>
      </c>
      <c r="C850" t="s">
        <v>1387</v>
      </c>
      <c r="D850" t="s">
        <v>1388</v>
      </c>
      <c r="E850">
        <v>9.8000000000000007</v>
      </c>
      <c r="F850">
        <v>8.6</v>
      </c>
      <c r="G850">
        <v>100</v>
      </c>
      <c r="H850">
        <v>11.9</v>
      </c>
    </row>
    <row r="851" spans="1:8" x14ac:dyDescent="0.35">
      <c r="A851">
        <v>849</v>
      </c>
      <c r="B851" t="s">
        <v>1322</v>
      </c>
      <c r="C851" t="s">
        <v>1389</v>
      </c>
      <c r="D851" t="s">
        <v>1390</v>
      </c>
      <c r="E851">
        <v>15.1</v>
      </c>
      <c r="F851">
        <v>10.7</v>
      </c>
      <c r="G851">
        <v>64.2</v>
      </c>
      <c r="H851">
        <v>8.1999999999999993</v>
      </c>
    </row>
    <row r="852" spans="1:8" x14ac:dyDescent="0.35">
      <c r="A852">
        <v>850</v>
      </c>
      <c r="B852" t="s">
        <v>1391</v>
      </c>
      <c r="C852" t="s">
        <v>1392</v>
      </c>
      <c r="D852" t="s">
        <v>1393</v>
      </c>
      <c r="E852">
        <v>22.4</v>
      </c>
      <c r="F852">
        <v>14</v>
      </c>
      <c r="G852">
        <v>8.8000000000000007</v>
      </c>
      <c r="H852">
        <v>11</v>
      </c>
    </row>
    <row r="853" spans="1:8" x14ac:dyDescent="0.35">
      <c r="A853">
        <v>851</v>
      </c>
      <c r="B853" t="s">
        <v>1391</v>
      </c>
      <c r="C853" t="s">
        <v>1394</v>
      </c>
      <c r="D853" t="s">
        <v>47</v>
      </c>
      <c r="E853">
        <v>24.3</v>
      </c>
      <c r="F853">
        <v>12.8</v>
      </c>
      <c r="G853">
        <v>5.6</v>
      </c>
      <c r="H853">
        <v>12</v>
      </c>
    </row>
    <row r="854" spans="1:8" x14ac:dyDescent="0.35">
      <c r="A854">
        <v>852</v>
      </c>
      <c r="B854" t="s">
        <v>1391</v>
      </c>
      <c r="C854" t="s">
        <v>1395</v>
      </c>
      <c r="D854" t="s">
        <v>1396</v>
      </c>
      <c r="E854">
        <v>5</v>
      </c>
      <c r="F854" t="s">
        <v>303</v>
      </c>
      <c r="G854">
        <v>7.1</v>
      </c>
      <c r="H854">
        <v>19.8</v>
      </c>
    </row>
    <row r="855" spans="1:8" x14ac:dyDescent="0.35">
      <c r="A855">
        <v>853</v>
      </c>
      <c r="B855">
        <v>8.9</v>
      </c>
      <c r="C855">
        <v>27.3</v>
      </c>
      <c r="D855" t="s">
        <v>1391</v>
      </c>
      <c r="E855">
        <v>1.4</v>
      </c>
      <c r="F855">
        <v>20.6</v>
      </c>
      <c r="G855">
        <v>43</v>
      </c>
      <c r="H855">
        <v>38.700000000000003</v>
      </c>
    </row>
    <row r="856" spans="1:8" x14ac:dyDescent="0.35">
      <c r="A856">
        <v>854</v>
      </c>
      <c r="B856" t="s">
        <v>1391</v>
      </c>
      <c r="C856" t="s">
        <v>1397</v>
      </c>
      <c r="D856" t="s">
        <v>1398</v>
      </c>
      <c r="E856">
        <v>29.1</v>
      </c>
      <c r="F856">
        <v>18.5</v>
      </c>
      <c r="G856">
        <v>8.6999999999999993</v>
      </c>
      <c r="H856">
        <v>8.6999999999999993</v>
      </c>
    </row>
    <row r="857" spans="1:8" x14ac:dyDescent="0.35">
      <c r="A857">
        <v>855</v>
      </c>
      <c r="B857" t="s">
        <v>1391</v>
      </c>
      <c r="C857" t="s">
        <v>1399</v>
      </c>
      <c r="D857" t="s">
        <v>1400</v>
      </c>
      <c r="E857">
        <v>15.9</v>
      </c>
      <c r="F857">
        <v>20.9</v>
      </c>
      <c r="G857">
        <v>62.1</v>
      </c>
      <c r="H857">
        <v>13.1</v>
      </c>
    </row>
    <row r="858" spans="1:8" x14ac:dyDescent="0.35">
      <c r="A858">
        <v>856</v>
      </c>
      <c r="B858" t="s">
        <v>1391</v>
      </c>
      <c r="C858" t="s">
        <v>1401</v>
      </c>
      <c r="D858" t="s">
        <v>561</v>
      </c>
      <c r="E858">
        <v>5</v>
      </c>
      <c r="F858" t="s">
        <v>303</v>
      </c>
      <c r="G858">
        <v>13.6</v>
      </c>
      <c r="H858">
        <v>7.4</v>
      </c>
    </row>
    <row r="859" spans="1:8" x14ac:dyDescent="0.35">
      <c r="A859">
        <v>857</v>
      </c>
      <c r="B859">
        <v>6.7</v>
      </c>
      <c r="C859">
        <v>9.6999999999999993</v>
      </c>
      <c r="D859" t="s">
        <v>1391</v>
      </c>
      <c r="E859">
        <v>56.3</v>
      </c>
      <c r="F859">
        <v>5.7</v>
      </c>
      <c r="G859">
        <v>36.1</v>
      </c>
      <c r="H859">
        <v>7.9</v>
      </c>
    </row>
    <row r="860" spans="1:8" x14ac:dyDescent="0.35">
      <c r="A860">
        <v>858</v>
      </c>
      <c r="B860" t="s">
        <v>1391</v>
      </c>
      <c r="C860" t="s">
        <v>1402</v>
      </c>
      <c r="D860" t="s">
        <v>1403</v>
      </c>
      <c r="E860">
        <v>49.3</v>
      </c>
      <c r="F860">
        <v>9.1</v>
      </c>
      <c r="G860">
        <v>6.7</v>
      </c>
      <c r="H860">
        <v>17.2</v>
      </c>
    </row>
    <row r="861" spans="1:8" x14ac:dyDescent="0.35">
      <c r="A861">
        <v>859</v>
      </c>
      <c r="B861" t="s">
        <v>1391</v>
      </c>
      <c r="C861" t="s">
        <v>1404</v>
      </c>
      <c r="D861" t="s">
        <v>1405</v>
      </c>
      <c r="E861">
        <v>52</v>
      </c>
      <c r="F861">
        <v>7.8</v>
      </c>
      <c r="G861">
        <v>43.5</v>
      </c>
      <c r="H861">
        <v>9.6999999999999993</v>
      </c>
    </row>
    <row r="862" spans="1:8" x14ac:dyDescent="0.35">
      <c r="A862">
        <v>860</v>
      </c>
      <c r="B862" t="s">
        <v>1391</v>
      </c>
      <c r="C862" t="s">
        <v>1406</v>
      </c>
      <c r="D862" t="s">
        <v>428</v>
      </c>
      <c r="E862">
        <v>30.1</v>
      </c>
      <c r="F862">
        <v>8.3000000000000007</v>
      </c>
      <c r="G862">
        <v>3.1</v>
      </c>
      <c r="H862">
        <v>16.2</v>
      </c>
    </row>
    <row r="863" spans="1:8" x14ac:dyDescent="0.35">
      <c r="A863">
        <v>861</v>
      </c>
      <c r="B863" t="s">
        <v>1391</v>
      </c>
      <c r="C863" t="s">
        <v>1407</v>
      </c>
      <c r="D863" t="s">
        <v>1408</v>
      </c>
      <c r="E863">
        <v>1.3</v>
      </c>
      <c r="F863">
        <v>15</v>
      </c>
      <c r="G863">
        <v>55.4</v>
      </c>
      <c r="H863">
        <v>31.6</v>
      </c>
    </row>
    <row r="864" spans="1:8" x14ac:dyDescent="0.35">
      <c r="A864">
        <v>862</v>
      </c>
      <c r="B864" t="s">
        <v>1391</v>
      </c>
      <c r="C864" t="s">
        <v>1409</v>
      </c>
      <c r="D864" t="s">
        <v>1410</v>
      </c>
      <c r="E864">
        <v>5.3</v>
      </c>
      <c r="F864">
        <v>17.5</v>
      </c>
      <c r="G864">
        <v>7.8</v>
      </c>
      <c r="H864">
        <v>17.399999999999999</v>
      </c>
    </row>
    <row r="865" spans="1:8" x14ac:dyDescent="0.35">
      <c r="A865">
        <v>863</v>
      </c>
      <c r="B865" t="s">
        <v>1391</v>
      </c>
      <c r="C865" t="s">
        <v>1411</v>
      </c>
      <c r="D865" t="s">
        <v>258</v>
      </c>
      <c r="E865">
        <v>22.6</v>
      </c>
      <c r="F865">
        <v>12.9</v>
      </c>
      <c r="G865">
        <v>9.6999999999999993</v>
      </c>
      <c r="H865">
        <v>15.5</v>
      </c>
    </row>
    <row r="866" spans="1:8" x14ac:dyDescent="0.35">
      <c r="A866">
        <v>864</v>
      </c>
      <c r="B866" t="s">
        <v>1391</v>
      </c>
      <c r="C866" t="s">
        <v>1412</v>
      </c>
      <c r="D866" t="s">
        <v>1413</v>
      </c>
      <c r="E866">
        <v>11</v>
      </c>
      <c r="F866">
        <v>15.2</v>
      </c>
      <c r="G866">
        <v>42.2</v>
      </c>
      <c r="H866">
        <v>15</v>
      </c>
    </row>
    <row r="867" spans="1:8" x14ac:dyDescent="0.35">
      <c r="A867">
        <v>865</v>
      </c>
      <c r="B867" t="s">
        <v>1391</v>
      </c>
      <c r="C867" t="s">
        <v>1414</v>
      </c>
      <c r="D867" t="s">
        <v>1415</v>
      </c>
      <c r="E867">
        <v>32.6</v>
      </c>
      <c r="F867">
        <v>6.4</v>
      </c>
      <c r="G867">
        <v>85</v>
      </c>
      <c r="H867">
        <v>7.2</v>
      </c>
    </row>
    <row r="868" spans="1:8" x14ac:dyDescent="0.35">
      <c r="A868">
        <v>866</v>
      </c>
      <c r="B868" t="s">
        <v>1391</v>
      </c>
      <c r="C868" t="s">
        <v>1416</v>
      </c>
      <c r="D868" t="s">
        <v>1311</v>
      </c>
      <c r="E868">
        <v>1.8</v>
      </c>
      <c r="F868">
        <v>15</v>
      </c>
      <c r="G868">
        <v>42.6</v>
      </c>
      <c r="H868">
        <v>46.5</v>
      </c>
    </row>
    <row r="869" spans="1:8" x14ac:dyDescent="0.35">
      <c r="A869">
        <v>867</v>
      </c>
      <c r="B869" t="s">
        <v>1391</v>
      </c>
      <c r="C869" t="s">
        <v>1417</v>
      </c>
      <c r="D869" t="s">
        <v>1418</v>
      </c>
      <c r="E869">
        <v>10.5</v>
      </c>
      <c r="F869">
        <v>36.9</v>
      </c>
      <c r="G869">
        <v>6.8</v>
      </c>
      <c r="H869">
        <v>21.3</v>
      </c>
    </row>
    <row r="870" spans="1:8" x14ac:dyDescent="0.35">
      <c r="A870">
        <v>868</v>
      </c>
      <c r="B870" t="s">
        <v>1391</v>
      </c>
      <c r="C870" t="s">
        <v>1419</v>
      </c>
      <c r="D870" t="s">
        <v>1420</v>
      </c>
      <c r="E870">
        <v>4</v>
      </c>
      <c r="F870" t="s">
        <v>303</v>
      </c>
      <c r="G870">
        <v>7.2</v>
      </c>
      <c r="H870">
        <v>33.200000000000003</v>
      </c>
    </row>
    <row r="871" spans="1:8" x14ac:dyDescent="0.35">
      <c r="A871">
        <v>869</v>
      </c>
      <c r="B871" t="s">
        <v>1391</v>
      </c>
      <c r="C871" t="s">
        <v>1421</v>
      </c>
      <c r="D871" t="s">
        <v>214</v>
      </c>
      <c r="E871">
        <v>12.5</v>
      </c>
      <c r="F871">
        <v>4.9000000000000004</v>
      </c>
      <c r="G871">
        <v>55.5</v>
      </c>
      <c r="H871">
        <v>17.5</v>
      </c>
    </row>
    <row r="872" spans="1:8" x14ac:dyDescent="0.35">
      <c r="A872">
        <v>870</v>
      </c>
      <c r="B872" t="s">
        <v>1391</v>
      </c>
      <c r="C872" t="s">
        <v>1422</v>
      </c>
      <c r="D872" t="s">
        <v>534</v>
      </c>
      <c r="E872">
        <v>50.2</v>
      </c>
      <c r="F872">
        <v>7.1</v>
      </c>
      <c r="G872">
        <v>11.8</v>
      </c>
      <c r="H872">
        <v>22.8</v>
      </c>
    </row>
    <row r="873" spans="1:8" x14ac:dyDescent="0.35">
      <c r="A873">
        <v>871</v>
      </c>
      <c r="B873" t="s">
        <v>1391</v>
      </c>
      <c r="C873" t="s">
        <v>1423</v>
      </c>
      <c r="D873" t="s">
        <v>1424</v>
      </c>
      <c r="E873">
        <v>36.9</v>
      </c>
      <c r="F873">
        <v>6.2</v>
      </c>
      <c r="G873">
        <v>9.1999999999999993</v>
      </c>
      <c r="H873">
        <v>2.9</v>
      </c>
    </row>
    <row r="874" spans="1:8" x14ac:dyDescent="0.35">
      <c r="A874">
        <v>872</v>
      </c>
      <c r="B874" t="s">
        <v>1391</v>
      </c>
      <c r="C874" t="s">
        <v>1425</v>
      </c>
      <c r="D874" t="s">
        <v>1426</v>
      </c>
      <c r="E874">
        <v>4.0999999999999996</v>
      </c>
      <c r="F874">
        <v>17.8</v>
      </c>
      <c r="G874">
        <v>50.5</v>
      </c>
      <c r="H874">
        <v>14.9</v>
      </c>
    </row>
    <row r="875" spans="1:8" x14ac:dyDescent="0.35">
      <c r="A875">
        <v>873</v>
      </c>
      <c r="B875" t="s">
        <v>1391</v>
      </c>
      <c r="C875" t="s">
        <v>1427</v>
      </c>
      <c r="D875" t="s">
        <v>1428</v>
      </c>
      <c r="E875">
        <v>13.4</v>
      </c>
      <c r="F875">
        <v>9.8000000000000007</v>
      </c>
      <c r="G875">
        <v>10.9</v>
      </c>
      <c r="H875">
        <v>55.4</v>
      </c>
    </row>
    <row r="876" spans="1:8" x14ac:dyDescent="0.35">
      <c r="A876">
        <v>874</v>
      </c>
      <c r="B876" t="s">
        <v>1391</v>
      </c>
      <c r="C876" t="s">
        <v>1429</v>
      </c>
      <c r="D876" t="s">
        <v>1430</v>
      </c>
      <c r="E876">
        <v>7.1</v>
      </c>
      <c r="F876">
        <v>39.9</v>
      </c>
      <c r="G876">
        <v>4.5999999999999996</v>
      </c>
      <c r="H876">
        <v>17.2</v>
      </c>
    </row>
    <row r="877" spans="1:8" x14ac:dyDescent="0.35">
      <c r="A877">
        <v>875</v>
      </c>
      <c r="B877" t="s">
        <v>1391</v>
      </c>
      <c r="C877" t="s">
        <v>1431</v>
      </c>
      <c r="D877" t="s">
        <v>1432</v>
      </c>
      <c r="E877">
        <v>2.4</v>
      </c>
      <c r="F877">
        <v>18.7</v>
      </c>
      <c r="G877">
        <v>66.599999999999994</v>
      </c>
      <c r="H877">
        <v>11.6</v>
      </c>
    </row>
    <row r="878" spans="1:8" x14ac:dyDescent="0.35">
      <c r="A878">
        <v>876</v>
      </c>
      <c r="B878" t="s">
        <v>1391</v>
      </c>
      <c r="C878" t="s">
        <v>1433</v>
      </c>
      <c r="D878" t="s">
        <v>1079</v>
      </c>
      <c r="E878">
        <v>1.5</v>
      </c>
      <c r="F878">
        <v>21</v>
      </c>
      <c r="G878">
        <v>79.900000000000006</v>
      </c>
      <c r="H878">
        <v>24.9</v>
      </c>
    </row>
    <row r="879" spans="1:8" x14ac:dyDescent="0.35">
      <c r="A879">
        <v>877</v>
      </c>
      <c r="B879" t="s">
        <v>1391</v>
      </c>
      <c r="C879" t="s">
        <v>1434</v>
      </c>
      <c r="D879" t="s">
        <v>269</v>
      </c>
      <c r="E879">
        <v>1.5</v>
      </c>
      <c r="F879">
        <v>24.1</v>
      </c>
      <c r="G879">
        <v>39.700000000000003</v>
      </c>
      <c r="H879">
        <v>30.3</v>
      </c>
    </row>
    <row r="880" spans="1:8" x14ac:dyDescent="0.35">
      <c r="A880">
        <v>878</v>
      </c>
      <c r="B880" t="s">
        <v>1391</v>
      </c>
      <c r="C880" t="s">
        <v>1435</v>
      </c>
      <c r="D880" t="s">
        <v>1436</v>
      </c>
      <c r="E880">
        <v>7.4</v>
      </c>
      <c r="F880">
        <v>32.6</v>
      </c>
      <c r="G880">
        <v>8.4</v>
      </c>
      <c r="H880">
        <v>8.9</v>
      </c>
    </row>
    <row r="881" spans="1:8" x14ac:dyDescent="0.35">
      <c r="A881">
        <v>879</v>
      </c>
      <c r="B881" t="s">
        <v>1391</v>
      </c>
      <c r="C881" t="s">
        <v>1437</v>
      </c>
      <c r="D881" t="s">
        <v>1438</v>
      </c>
      <c r="E881">
        <v>64.400000000000006</v>
      </c>
      <c r="F881">
        <v>4.3</v>
      </c>
      <c r="G881">
        <v>6.9</v>
      </c>
      <c r="H881">
        <v>2.4</v>
      </c>
    </row>
    <row r="882" spans="1:8" x14ac:dyDescent="0.35">
      <c r="A882">
        <v>880</v>
      </c>
      <c r="B882" t="s">
        <v>1391</v>
      </c>
      <c r="C882" t="s">
        <v>1439</v>
      </c>
      <c r="D882" t="s">
        <v>206</v>
      </c>
      <c r="E882">
        <v>14.4</v>
      </c>
      <c r="F882">
        <v>28</v>
      </c>
      <c r="G882">
        <v>3.6</v>
      </c>
      <c r="H882">
        <v>22.4</v>
      </c>
    </row>
    <row r="883" spans="1:8" x14ac:dyDescent="0.35">
      <c r="A883">
        <v>881</v>
      </c>
      <c r="B883" t="s">
        <v>1391</v>
      </c>
      <c r="C883" t="s">
        <v>1440</v>
      </c>
      <c r="D883" t="s">
        <v>1441</v>
      </c>
      <c r="E883">
        <v>1.7</v>
      </c>
      <c r="F883">
        <v>23.8</v>
      </c>
      <c r="G883">
        <v>54.1</v>
      </c>
      <c r="H883">
        <v>18.5</v>
      </c>
    </row>
    <row r="884" spans="1:8" x14ac:dyDescent="0.35">
      <c r="A884">
        <v>882</v>
      </c>
      <c r="B884" t="s">
        <v>1391</v>
      </c>
      <c r="C884" t="s">
        <v>1442</v>
      </c>
      <c r="D884" t="s">
        <v>1443</v>
      </c>
      <c r="E884">
        <v>41.6</v>
      </c>
      <c r="F884">
        <v>9.6</v>
      </c>
      <c r="G884">
        <v>17.8</v>
      </c>
      <c r="H884">
        <v>5</v>
      </c>
    </row>
    <row r="885" spans="1:8" x14ac:dyDescent="0.35">
      <c r="A885">
        <v>883</v>
      </c>
      <c r="B885" t="s">
        <v>1391</v>
      </c>
      <c r="C885" t="s">
        <v>1444</v>
      </c>
      <c r="D885" t="s">
        <v>1445</v>
      </c>
      <c r="E885">
        <v>5.8</v>
      </c>
      <c r="F885">
        <v>13.9</v>
      </c>
      <c r="G885">
        <v>42.2</v>
      </c>
      <c r="H885">
        <v>16</v>
      </c>
    </row>
    <row r="886" spans="1:8" x14ac:dyDescent="0.35">
      <c r="A886">
        <v>884</v>
      </c>
      <c r="B886" t="s">
        <v>1391</v>
      </c>
      <c r="C886" t="s">
        <v>1446</v>
      </c>
      <c r="D886" t="s">
        <v>1447</v>
      </c>
      <c r="E886">
        <v>12.3</v>
      </c>
      <c r="F886">
        <v>22</v>
      </c>
      <c r="G886">
        <v>34.200000000000003</v>
      </c>
      <c r="H886">
        <v>7.4</v>
      </c>
    </row>
    <row r="887" spans="1:8" x14ac:dyDescent="0.35">
      <c r="A887">
        <v>885</v>
      </c>
      <c r="B887" t="s">
        <v>1391</v>
      </c>
      <c r="C887" t="s">
        <v>1448</v>
      </c>
      <c r="D887" t="s">
        <v>1449</v>
      </c>
      <c r="E887">
        <v>40.1</v>
      </c>
      <c r="F887">
        <v>12.4</v>
      </c>
      <c r="G887">
        <v>11.8</v>
      </c>
      <c r="H887">
        <v>9.1</v>
      </c>
    </row>
    <row r="888" spans="1:8" x14ac:dyDescent="0.35">
      <c r="A888">
        <v>886</v>
      </c>
      <c r="B888" t="s">
        <v>1391</v>
      </c>
      <c r="C888" t="s">
        <v>1450</v>
      </c>
      <c r="D888" t="s">
        <v>1451</v>
      </c>
      <c r="E888">
        <v>3.7</v>
      </c>
      <c r="F888">
        <v>10.3</v>
      </c>
      <c r="G888">
        <v>100</v>
      </c>
      <c r="H888">
        <v>9.6999999999999993</v>
      </c>
    </row>
    <row r="889" spans="1:8" x14ac:dyDescent="0.35">
      <c r="A889">
        <v>887</v>
      </c>
      <c r="B889" t="s">
        <v>1391</v>
      </c>
      <c r="C889" t="s">
        <v>1452</v>
      </c>
      <c r="D889" t="s">
        <v>1453</v>
      </c>
      <c r="E889">
        <v>11.3</v>
      </c>
      <c r="F889">
        <v>20.399999999999999</v>
      </c>
      <c r="G889">
        <v>1.8</v>
      </c>
      <c r="H889">
        <v>12.4</v>
      </c>
    </row>
    <row r="890" spans="1:8" x14ac:dyDescent="0.35">
      <c r="A890">
        <v>888</v>
      </c>
      <c r="B890" t="s">
        <v>1391</v>
      </c>
      <c r="C890" t="s">
        <v>1454</v>
      </c>
      <c r="D890" t="s">
        <v>1455</v>
      </c>
      <c r="E890">
        <v>5</v>
      </c>
      <c r="F890" t="s">
        <v>303</v>
      </c>
      <c r="G890" t="s">
        <v>304</v>
      </c>
      <c r="H890">
        <v>10.8</v>
      </c>
    </row>
    <row r="891" spans="1:8" x14ac:dyDescent="0.35">
      <c r="A891">
        <v>889</v>
      </c>
      <c r="B891">
        <v>5.6</v>
      </c>
      <c r="C891">
        <v>5.2</v>
      </c>
      <c r="D891">
        <v>7.8</v>
      </c>
      <c r="E891">
        <v>48.1</v>
      </c>
      <c r="F891">
        <v>17.100000000000001</v>
      </c>
      <c r="G891">
        <v>18.5</v>
      </c>
      <c r="H891">
        <v>5.6</v>
      </c>
    </row>
    <row r="892" spans="1:8" x14ac:dyDescent="0.35">
      <c r="A892">
        <v>890</v>
      </c>
      <c r="B892" t="s">
        <v>1391</v>
      </c>
      <c r="C892" t="s">
        <v>1456</v>
      </c>
      <c r="D892" t="s">
        <v>1457</v>
      </c>
      <c r="E892">
        <v>5</v>
      </c>
      <c r="F892" t="s">
        <v>303</v>
      </c>
      <c r="G892">
        <v>17.7</v>
      </c>
      <c r="H892">
        <v>7</v>
      </c>
    </row>
    <row r="893" spans="1:8" x14ac:dyDescent="0.35">
      <c r="A893">
        <v>891</v>
      </c>
      <c r="B893">
        <v>9.8000000000000007</v>
      </c>
      <c r="C893">
        <v>6.7</v>
      </c>
      <c r="D893" t="s">
        <v>1391</v>
      </c>
      <c r="E893">
        <v>41.1</v>
      </c>
      <c r="F893">
        <v>13.4</v>
      </c>
      <c r="G893">
        <v>9.9</v>
      </c>
      <c r="H893">
        <v>6.8</v>
      </c>
    </row>
    <row r="894" spans="1:8" x14ac:dyDescent="0.35">
      <c r="A894">
        <v>892</v>
      </c>
      <c r="B894" t="s">
        <v>1391</v>
      </c>
      <c r="C894" t="s">
        <v>1458</v>
      </c>
      <c r="D894" t="s">
        <v>72</v>
      </c>
      <c r="E894">
        <v>15.8</v>
      </c>
      <c r="F894">
        <v>18.7</v>
      </c>
      <c r="G894">
        <v>51.3</v>
      </c>
      <c r="H894">
        <v>18.399999999999999</v>
      </c>
    </row>
    <row r="895" spans="1:8" x14ac:dyDescent="0.35">
      <c r="A895">
        <v>893</v>
      </c>
      <c r="B895" t="s">
        <v>1391</v>
      </c>
      <c r="C895" t="s">
        <v>1459</v>
      </c>
      <c r="D895" t="s">
        <v>1460</v>
      </c>
      <c r="E895">
        <v>11.8</v>
      </c>
      <c r="F895">
        <v>10.199999999999999</v>
      </c>
      <c r="G895">
        <v>87.2</v>
      </c>
      <c r="H895">
        <v>9.1</v>
      </c>
    </row>
    <row r="896" spans="1:8" x14ac:dyDescent="0.35">
      <c r="A896">
        <v>894</v>
      </c>
      <c r="B896" t="s">
        <v>1391</v>
      </c>
      <c r="C896" t="s">
        <v>1461</v>
      </c>
      <c r="D896" t="s">
        <v>10</v>
      </c>
      <c r="E896">
        <v>1.9</v>
      </c>
      <c r="F896">
        <v>12.4</v>
      </c>
      <c r="G896">
        <v>25.2</v>
      </c>
      <c r="H896">
        <v>18.5</v>
      </c>
    </row>
    <row r="897" spans="1:8" x14ac:dyDescent="0.35">
      <c r="A897">
        <v>895</v>
      </c>
      <c r="B897" t="s">
        <v>1391</v>
      </c>
      <c r="C897" t="s">
        <v>1462</v>
      </c>
      <c r="D897" t="s">
        <v>1463</v>
      </c>
      <c r="E897">
        <v>52.6</v>
      </c>
      <c r="F897">
        <v>4.0999999999999996</v>
      </c>
      <c r="G897">
        <v>4.0999999999999996</v>
      </c>
      <c r="H897">
        <v>4.8</v>
      </c>
    </row>
    <row r="898" spans="1:8" x14ac:dyDescent="0.35">
      <c r="A898">
        <v>896</v>
      </c>
      <c r="B898" t="s">
        <v>1391</v>
      </c>
      <c r="C898" t="s">
        <v>1464</v>
      </c>
      <c r="D898" t="s">
        <v>532</v>
      </c>
      <c r="E898">
        <v>46.8</v>
      </c>
      <c r="F898">
        <v>5.9</v>
      </c>
      <c r="G898">
        <v>64.3</v>
      </c>
      <c r="H898">
        <v>3.8</v>
      </c>
    </row>
    <row r="899" spans="1:8" x14ac:dyDescent="0.35">
      <c r="A899">
        <v>897</v>
      </c>
      <c r="B899" t="s">
        <v>1391</v>
      </c>
      <c r="C899" t="s">
        <v>1465</v>
      </c>
      <c r="D899" t="s">
        <v>10</v>
      </c>
      <c r="E899">
        <v>9.3000000000000007</v>
      </c>
      <c r="F899">
        <v>9.6999999999999993</v>
      </c>
      <c r="G899">
        <v>6.9</v>
      </c>
      <c r="H899">
        <v>10.4</v>
      </c>
    </row>
    <row r="900" spans="1:8" x14ac:dyDescent="0.35">
      <c r="A900">
        <v>898</v>
      </c>
      <c r="B900" t="s">
        <v>1391</v>
      </c>
      <c r="C900" t="s">
        <v>1466</v>
      </c>
      <c r="D900" t="s">
        <v>1467</v>
      </c>
      <c r="E900">
        <v>5.9</v>
      </c>
      <c r="F900">
        <v>22.1</v>
      </c>
      <c r="G900">
        <v>48.5</v>
      </c>
      <c r="H900">
        <v>16.399999999999999</v>
      </c>
    </row>
    <row r="901" spans="1:8" x14ac:dyDescent="0.35">
      <c r="A901">
        <v>899</v>
      </c>
      <c r="B901" t="s">
        <v>1391</v>
      </c>
      <c r="C901" t="s">
        <v>1468</v>
      </c>
      <c r="D901" t="s">
        <v>1469</v>
      </c>
      <c r="E901">
        <v>1.8</v>
      </c>
      <c r="F901">
        <v>11.5</v>
      </c>
      <c r="G901">
        <v>68.5</v>
      </c>
      <c r="H901">
        <v>27.3</v>
      </c>
    </row>
    <row r="902" spans="1:8" x14ac:dyDescent="0.35">
      <c r="A902">
        <v>900</v>
      </c>
      <c r="B902" t="s">
        <v>1391</v>
      </c>
      <c r="C902" t="s">
        <v>1470</v>
      </c>
      <c r="D902" t="s">
        <v>1471</v>
      </c>
      <c r="E902">
        <v>12.3</v>
      </c>
      <c r="F902">
        <v>4.9000000000000004</v>
      </c>
      <c r="G902">
        <v>90.7</v>
      </c>
      <c r="H902">
        <v>10.5</v>
      </c>
    </row>
    <row r="903" spans="1:8" x14ac:dyDescent="0.35">
      <c r="A903">
        <v>901</v>
      </c>
      <c r="B903" t="s">
        <v>1391</v>
      </c>
      <c r="C903" t="s">
        <v>1472</v>
      </c>
      <c r="D903" t="s">
        <v>528</v>
      </c>
      <c r="E903">
        <v>67.599999999999994</v>
      </c>
      <c r="F903">
        <v>6.5</v>
      </c>
      <c r="G903">
        <v>10.9</v>
      </c>
      <c r="H903">
        <v>13.9</v>
      </c>
    </row>
    <row r="904" spans="1:8" x14ac:dyDescent="0.35">
      <c r="A904">
        <v>902</v>
      </c>
      <c r="B904" t="s">
        <v>1391</v>
      </c>
      <c r="C904" t="s">
        <v>1473</v>
      </c>
      <c r="D904" t="s">
        <v>1474</v>
      </c>
      <c r="E904">
        <v>4.9000000000000004</v>
      </c>
      <c r="F904">
        <v>6.8</v>
      </c>
      <c r="G904">
        <v>74.5</v>
      </c>
      <c r="H904">
        <v>10.6</v>
      </c>
    </row>
    <row r="905" spans="1:8" x14ac:dyDescent="0.35">
      <c r="A905">
        <v>903</v>
      </c>
      <c r="B905" t="s">
        <v>1475</v>
      </c>
      <c r="C905" t="s">
        <v>1476</v>
      </c>
      <c r="D905" t="s">
        <v>1477</v>
      </c>
      <c r="E905">
        <v>5</v>
      </c>
      <c r="F905" t="s">
        <v>303</v>
      </c>
      <c r="G905" t="s">
        <v>304</v>
      </c>
      <c r="H905">
        <v>2.9</v>
      </c>
    </row>
    <row r="906" spans="1:8" x14ac:dyDescent="0.35">
      <c r="A906">
        <v>904</v>
      </c>
      <c r="B906">
        <v>7.8</v>
      </c>
      <c r="C906">
        <v>20.2</v>
      </c>
      <c r="D906">
        <v>30.7</v>
      </c>
      <c r="E906">
        <v>1.6</v>
      </c>
      <c r="F906">
        <v>10</v>
      </c>
      <c r="G906">
        <v>93.1</v>
      </c>
      <c r="H906">
        <v>12.9</v>
      </c>
    </row>
    <row r="907" spans="1:8" x14ac:dyDescent="0.35">
      <c r="A907">
        <v>905</v>
      </c>
      <c r="B907" t="s">
        <v>1475</v>
      </c>
      <c r="C907" t="s">
        <v>1478</v>
      </c>
      <c r="D907" t="s">
        <v>1479</v>
      </c>
      <c r="E907">
        <v>16.100000000000001</v>
      </c>
      <c r="F907">
        <v>10.6</v>
      </c>
      <c r="G907">
        <v>20</v>
      </c>
      <c r="H907">
        <v>18.100000000000001</v>
      </c>
    </row>
    <row r="908" spans="1:8" x14ac:dyDescent="0.35">
      <c r="A908">
        <v>906</v>
      </c>
      <c r="B908" t="s">
        <v>1475</v>
      </c>
      <c r="C908" t="s">
        <v>1480</v>
      </c>
      <c r="D908" t="s">
        <v>894</v>
      </c>
      <c r="E908">
        <v>1.1000000000000001</v>
      </c>
      <c r="F908">
        <v>13.5</v>
      </c>
      <c r="G908">
        <v>71</v>
      </c>
      <c r="H908">
        <v>35.700000000000003</v>
      </c>
    </row>
    <row r="909" spans="1:8" x14ac:dyDescent="0.35">
      <c r="A909">
        <v>907</v>
      </c>
      <c r="B909" t="s">
        <v>1475</v>
      </c>
      <c r="C909" t="s">
        <v>1481</v>
      </c>
      <c r="D909" t="s">
        <v>1482</v>
      </c>
      <c r="E909">
        <v>5</v>
      </c>
      <c r="F909" t="s">
        <v>303</v>
      </c>
      <c r="G909" t="s">
        <v>304</v>
      </c>
      <c r="H909">
        <v>4.8</v>
      </c>
    </row>
    <row r="910" spans="1:8" x14ac:dyDescent="0.35">
      <c r="A910">
        <v>908</v>
      </c>
      <c r="B910">
        <v>19.100000000000001</v>
      </c>
      <c r="C910">
        <v>27.1</v>
      </c>
      <c r="D910">
        <v>32.1</v>
      </c>
      <c r="E910">
        <v>6</v>
      </c>
      <c r="F910">
        <v>6.5</v>
      </c>
      <c r="G910">
        <v>70.5</v>
      </c>
      <c r="H910">
        <v>4.5999999999999996</v>
      </c>
    </row>
    <row r="911" spans="1:8" x14ac:dyDescent="0.35">
      <c r="A911">
        <v>909</v>
      </c>
      <c r="B911" t="s">
        <v>1475</v>
      </c>
      <c r="C911" t="s">
        <v>1483</v>
      </c>
      <c r="D911" t="s">
        <v>1484</v>
      </c>
      <c r="E911">
        <v>25.2</v>
      </c>
      <c r="F911">
        <v>11.6</v>
      </c>
      <c r="G911">
        <v>11.3</v>
      </c>
      <c r="H911">
        <v>16.5</v>
      </c>
    </row>
    <row r="912" spans="1:8" x14ac:dyDescent="0.35">
      <c r="A912">
        <v>910</v>
      </c>
      <c r="B912" t="s">
        <v>1475</v>
      </c>
      <c r="C912" t="s">
        <v>1485</v>
      </c>
      <c r="D912" t="s">
        <v>1486</v>
      </c>
      <c r="E912">
        <v>17.7</v>
      </c>
      <c r="F912">
        <v>5.4</v>
      </c>
      <c r="G912">
        <v>21.6</v>
      </c>
      <c r="H912">
        <v>6.3</v>
      </c>
    </row>
    <row r="913" spans="1:8" x14ac:dyDescent="0.35">
      <c r="A913">
        <v>911</v>
      </c>
      <c r="B913" t="s">
        <v>1475</v>
      </c>
      <c r="C913" t="s">
        <v>1487</v>
      </c>
      <c r="D913" t="s">
        <v>1488</v>
      </c>
      <c r="E913">
        <v>4.8</v>
      </c>
      <c r="F913">
        <v>25.9</v>
      </c>
      <c r="G913">
        <v>35.200000000000003</v>
      </c>
      <c r="H913">
        <v>19.8</v>
      </c>
    </row>
    <row r="914" spans="1:8" x14ac:dyDescent="0.35">
      <c r="A914">
        <v>912</v>
      </c>
      <c r="B914" t="s">
        <v>1475</v>
      </c>
      <c r="C914" t="s">
        <v>1489</v>
      </c>
      <c r="D914" t="s">
        <v>1490</v>
      </c>
      <c r="E914">
        <v>5</v>
      </c>
      <c r="F914" t="s">
        <v>303</v>
      </c>
      <c r="G914">
        <v>13</v>
      </c>
      <c r="H914">
        <v>9.1</v>
      </c>
    </row>
    <row r="915" spans="1:8" x14ac:dyDescent="0.35">
      <c r="A915">
        <v>913</v>
      </c>
      <c r="B915">
        <v>8.9</v>
      </c>
      <c r="C915">
        <v>14.3</v>
      </c>
      <c r="D915" t="s">
        <v>1475</v>
      </c>
      <c r="E915">
        <v>13.9</v>
      </c>
      <c r="F915">
        <v>9.1999999999999993</v>
      </c>
      <c r="G915">
        <v>47.2</v>
      </c>
      <c r="H915">
        <v>17</v>
      </c>
    </row>
    <row r="916" spans="1:8" x14ac:dyDescent="0.35">
      <c r="A916">
        <v>914</v>
      </c>
      <c r="B916" t="s">
        <v>1475</v>
      </c>
      <c r="C916" t="s">
        <v>1491</v>
      </c>
      <c r="D916" t="s">
        <v>1492</v>
      </c>
      <c r="E916">
        <v>2.9</v>
      </c>
      <c r="F916">
        <v>24.3</v>
      </c>
      <c r="G916">
        <v>20.5</v>
      </c>
      <c r="H916">
        <v>30.2</v>
      </c>
    </row>
    <row r="917" spans="1:8" x14ac:dyDescent="0.35">
      <c r="A917">
        <v>915</v>
      </c>
      <c r="B917" t="s">
        <v>1475</v>
      </c>
      <c r="C917" t="s">
        <v>1493</v>
      </c>
      <c r="D917" t="s">
        <v>1494</v>
      </c>
      <c r="E917">
        <v>42.5</v>
      </c>
      <c r="F917">
        <v>6.4</v>
      </c>
      <c r="G917">
        <v>52.5</v>
      </c>
      <c r="H917">
        <v>6</v>
      </c>
    </row>
    <row r="918" spans="1:8" x14ac:dyDescent="0.35">
      <c r="A918">
        <v>916</v>
      </c>
      <c r="B918" t="s">
        <v>1475</v>
      </c>
      <c r="C918" t="s">
        <v>1495</v>
      </c>
      <c r="D918" t="s">
        <v>1496</v>
      </c>
      <c r="E918">
        <v>8.6999999999999993</v>
      </c>
      <c r="F918">
        <v>27.6</v>
      </c>
      <c r="G918">
        <v>8.8000000000000007</v>
      </c>
      <c r="H918">
        <v>20.3</v>
      </c>
    </row>
    <row r="919" spans="1:8" x14ac:dyDescent="0.35">
      <c r="A919">
        <v>917</v>
      </c>
      <c r="B919" t="s">
        <v>1475</v>
      </c>
      <c r="C919" t="s">
        <v>1497</v>
      </c>
      <c r="D919" t="s">
        <v>1327</v>
      </c>
      <c r="E919">
        <v>1</v>
      </c>
      <c r="F919">
        <v>8.5</v>
      </c>
      <c r="G919">
        <v>99.4</v>
      </c>
      <c r="H919">
        <v>12.2</v>
      </c>
    </row>
    <row r="920" spans="1:8" x14ac:dyDescent="0.35">
      <c r="A920">
        <v>918</v>
      </c>
      <c r="B920" t="s">
        <v>1475</v>
      </c>
      <c r="C920" t="s">
        <v>1498</v>
      </c>
      <c r="D920" t="s">
        <v>10</v>
      </c>
      <c r="E920">
        <v>5</v>
      </c>
      <c r="F920" t="s">
        <v>303</v>
      </c>
      <c r="G920" t="s">
        <v>304</v>
      </c>
      <c r="H920">
        <v>9.4</v>
      </c>
    </row>
    <row r="921" spans="1:8" x14ac:dyDescent="0.35">
      <c r="A921">
        <v>919</v>
      </c>
      <c r="B921">
        <v>5</v>
      </c>
      <c r="C921">
        <v>10.1</v>
      </c>
      <c r="D921">
        <v>6.1</v>
      </c>
      <c r="E921">
        <v>17.3</v>
      </c>
      <c r="F921">
        <v>15.4</v>
      </c>
      <c r="G921">
        <v>8</v>
      </c>
      <c r="H921">
        <v>11.1</v>
      </c>
    </row>
    <row r="922" spans="1:8" x14ac:dyDescent="0.35">
      <c r="A922">
        <v>920</v>
      </c>
      <c r="B922" t="s">
        <v>1475</v>
      </c>
      <c r="C922" t="s">
        <v>1499</v>
      </c>
      <c r="D922" t="s">
        <v>10</v>
      </c>
      <c r="E922">
        <v>12.1</v>
      </c>
      <c r="F922">
        <v>6.5</v>
      </c>
      <c r="G922">
        <v>10</v>
      </c>
      <c r="H922">
        <v>7.4</v>
      </c>
    </row>
    <row r="923" spans="1:8" x14ac:dyDescent="0.35">
      <c r="A923">
        <v>921</v>
      </c>
      <c r="B923" t="s">
        <v>1475</v>
      </c>
      <c r="C923" t="s">
        <v>1500</v>
      </c>
      <c r="D923" t="s">
        <v>166</v>
      </c>
      <c r="E923">
        <v>55.9</v>
      </c>
      <c r="F923">
        <v>7</v>
      </c>
      <c r="G923">
        <v>20</v>
      </c>
      <c r="H923">
        <v>4.5</v>
      </c>
    </row>
    <row r="924" spans="1:8" x14ac:dyDescent="0.35">
      <c r="A924">
        <v>922</v>
      </c>
      <c r="B924" t="s">
        <v>1475</v>
      </c>
      <c r="C924" t="s">
        <v>1501</v>
      </c>
      <c r="D924" t="s">
        <v>166</v>
      </c>
      <c r="E924">
        <v>51.9</v>
      </c>
      <c r="F924">
        <v>8.5</v>
      </c>
      <c r="G924">
        <v>15.8</v>
      </c>
      <c r="H924">
        <v>8.4</v>
      </c>
    </row>
    <row r="925" spans="1:8" x14ac:dyDescent="0.35">
      <c r="A925">
        <v>923</v>
      </c>
      <c r="B925" t="s">
        <v>1475</v>
      </c>
      <c r="C925" t="s">
        <v>1502</v>
      </c>
      <c r="D925" t="s">
        <v>1503</v>
      </c>
      <c r="E925">
        <v>28</v>
      </c>
      <c r="F925">
        <v>15.6</v>
      </c>
      <c r="G925">
        <v>11.1</v>
      </c>
      <c r="H925">
        <v>6.2</v>
      </c>
    </row>
    <row r="926" spans="1:8" x14ac:dyDescent="0.35">
      <c r="A926">
        <v>924</v>
      </c>
      <c r="B926" t="s">
        <v>1475</v>
      </c>
      <c r="C926" t="s">
        <v>1504</v>
      </c>
      <c r="D926" t="s">
        <v>1016</v>
      </c>
      <c r="E926">
        <v>8.1999999999999993</v>
      </c>
      <c r="F926">
        <v>15</v>
      </c>
      <c r="G926">
        <v>7.4</v>
      </c>
      <c r="H926">
        <v>55</v>
      </c>
    </row>
    <row r="927" spans="1:8" x14ac:dyDescent="0.35">
      <c r="A927">
        <v>925</v>
      </c>
      <c r="B927" t="s">
        <v>1475</v>
      </c>
      <c r="C927" t="s">
        <v>1505</v>
      </c>
      <c r="D927" t="s">
        <v>1506</v>
      </c>
      <c r="E927">
        <v>5</v>
      </c>
      <c r="F927" t="s">
        <v>303</v>
      </c>
      <c r="G927">
        <v>20.5</v>
      </c>
      <c r="H927">
        <v>9.9</v>
      </c>
    </row>
    <row r="928" spans="1:8" x14ac:dyDescent="0.35">
      <c r="A928">
        <v>926</v>
      </c>
      <c r="B928">
        <v>9.9</v>
      </c>
      <c r="C928">
        <v>12.9</v>
      </c>
      <c r="D928" t="s">
        <v>1475</v>
      </c>
      <c r="E928">
        <v>10.1</v>
      </c>
      <c r="F928">
        <v>20.100000000000001</v>
      </c>
      <c r="G928">
        <v>54.2</v>
      </c>
      <c r="H928">
        <v>18</v>
      </c>
    </row>
    <row r="929" spans="1:8" x14ac:dyDescent="0.35">
      <c r="A929">
        <v>927</v>
      </c>
      <c r="B929" t="s">
        <v>1475</v>
      </c>
      <c r="C929" t="s">
        <v>1507</v>
      </c>
      <c r="D929" t="s">
        <v>1508</v>
      </c>
      <c r="E929">
        <v>24.7</v>
      </c>
      <c r="F929">
        <v>8.3000000000000007</v>
      </c>
      <c r="G929">
        <v>12.6</v>
      </c>
      <c r="H929">
        <v>11.5</v>
      </c>
    </row>
    <row r="930" spans="1:8" x14ac:dyDescent="0.35">
      <c r="A930">
        <v>928</v>
      </c>
      <c r="B930" t="s">
        <v>1475</v>
      </c>
      <c r="C930" t="s">
        <v>1509</v>
      </c>
      <c r="D930" t="s">
        <v>1012</v>
      </c>
      <c r="E930">
        <v>10.6</v>
      </c>
      <c r="F930">
        <v>11.6</v>
      </c>
      <c r="G930">
        <v>13.1</v>
      </c>
      <c r="H930">
        <v>8.4</v>
      </c>
    </row>
    <row r="931" spans="1:8" x14ac:dyDescent="0.35">
      <c r="A931">
        <v>929</v>
      </c>
      <c r="B931" t="s">
        <v>1475</v>
      </c>
      <c r="C931" t="s">
        <v>1510</v>
      </c>
      <c r="D931" t="s">
        <v>222</v>
      </c>
      <c r="E931">
        <v>4.0999999999999996</v>
      </c>
      <c r="F931">
        <v>28.2</v>
      </c>
      <c r="G931">
        <v>13.7</v>
      </c>
      <c r="H931">
        <v>28.3</v>
      </c>
    </row>
    <row r="932" spans="1:8" x14ac:dyDescent="0.35">
      <c r="A932">
        <v>930</v>
      </c>
      <c r="B932" t="s">
        <v>1475</v>
      </c>
      <c r="C932" t="s">
        <v>1511</v>
      </c>
      <c r="D932" t="s">
        <v>1512</v>
      </c>
      <c r="E932">
        <v>9.9</v>
      </c>
      <c r="F932">
        <v>19.100000000000001</v>
      </c>
      <c r="G932">
        <v>40.299999999999997</v>
      </c>
      <c r="H932">
        <v>9.6</v>
      </c>
    </row>
    <row r="933" spans="1:8" x14ac:dyDescent="0.35">
      <c r="A933">
        <v>931</v>
      </c>
      <c r="B933" t="s">
        <v>1475</v>
      </c>
      <c r="C933" t="s">
        <v>1513</v>
      </c>
      <c r="D933" t="s">
        <v>420</v>
      </c>
      <c r="E933">
        <v>4</v>
      </c>
      <c r="F933" t="s">
        <v>303</v>
      </c>
      <c r="G933">
        <v>4.5</v>
      </c>
      <c r="H933">
        <v>22.1</v>
      </c>
    </row>
    <row r="934" spans="1:8" x14ac:dyDescent="0.35">
      <c r="A934">
        <v>932</v>
      </c>
      <c r="B934">
        <v>28</v>
      </c>
      <c r="C934">
        <v>23.1</v>
      </c>
      <c r="D934" t="s">
        <v>1475</v>
      </c>
      <c r="E934">
        <v>5</v>
      </c>
      <c r="F934" t="s">
        <v>303</v>
      </c>
      <c r="G934">
        <v>9.6</v>
      </c>
      <c r="H934">
        <v>8.1999999999999993</v>
      </c>
    </row>
    <row r="935" spans="1:8" x14ac:dyDescent="0.35">
      <c r="A935">
        <v>933</v>
      </c>
      <c r="B935">
        <v>35.799999999999997</v>
      </c>
      <c r="C935">
        <v>11</v>
      </c>
      <c r="D935" t="s">
        <v>1475</v>
      </c>
      <c r="E935">
        <v>5</v>
      </c>
      <c r="F935" t="s">
        <v>303</v>
      </c>
      <c r="G935" t="s">
        <v>304</v>
      </c>
      <c r="H935">
        <v>3.1</v>
      </c>
    </row>
    <row r="936" spans="1:8" x14ac:dyDescent="0.35">
      <c r="A936">
        <v>934</v>
      </c>
      <c r="B936">
        <v>6.7</v>
      </c>
      <c r="C936">
        <v>61.7</v>
      </c>
      <c r="D936">
        <v>21.6</v>
      </c>
      <c r="E936">
        <v>14.5</v>
      </c>
      <c r="F936">
        <v>25.1</v>
      </c>
      <c r="G936">
        <v>25</v>
      </c>
      <c r="H936">
        <v>6.7</v>
      </c>
    </row>
    <row r="937" spans="1:8" x14ac:dyDescent="0.35">
      <c r="A937">
        <v>935</v>
      </c>
      <c r="B937" t="s">
        <v>1475</v>
      </c>
      <c r="C937" t="s">
        <v>1514</v>
      </c>
      <c r="D937" t="s">
        <v>1515</v>
      </c>
      <c r="E937">
        <v>47.7</v>
      </c>
      <c r="F937">
        <v>10</v>
      </c>
      <c r="G937">
        <v>3</v>
      </c>
      <c r="H937">
        <v>5.8</v>
      </c>
    </row>
    <row r="938" spans="1:8" x14ac:dyDescent="0.35">
      <c r="A938">
        <v>936</v>
      </c>
      <c r="B938" t="s">
        <v>1475</v>
      </c>
      <c r="C938" t="s">
        <v>1516</v>
      </c>
      <c r="D938" t="s">
        <v>383</v>
      </c>
      <c r="E938">
        <v>5</v>
      </c>
      <c r="F938" t="s">
        <v>303</v>
      </c>
      <c r="G938" t="s">
        <v>304</v>
      </c>
      <c r="H938">
        <v>5.3</v>
      </c>
    </row>
    <row r="939" spans="1:8" x14ac:dyDescent="0.35">
      <c r="A939">
        <v>937</v>
      </c>
      <c r="B939">
        <v>5.5</v>
      </c>
      <c r="C939">
        <v>97.4</v>
      </c>
      <c r="D939">
        <v>4.5</v>
      </c>
      <c r="E939">
        <v>11.3</v>
      </c>
      <c r="F939">
        <v>8.4</v>
      </c>
      <c r="G939">
        <v>85.5</v>
      </c>
      <c r="H939">
        <v>3.3</v>
      </c>
    </row>
    <row r="940" spans="1:8" x14ac:dyDescent="0.35">
      <c r="A940">
        <v>938</v>
      </c>
      <c r="B940" t="s">
        <v>1475</v>
      </c>
      <c r="C940" t="s">
        <v>1517</v>
      </c>
      <c r="D940" t="s">
        <v>1518</v>
      </c>
      <c r="E940">
        <v>54.5</v>
      </c>
      <c r="F940">
        <v>5.3</v>
      </c>
      <c r="G940">
        <v>3.2</v>
      </c>
      <c r="H940">
        <v>6.3</v>
      </c>
    </row>
    <row r="941" spans="1:8" x14ac:dyDescent="0.35">
      <c r="A941">
        <v>939</v>
      </c>
      <c r="B941" t="s">
        <v>1475</v>
      </c>
      <c r="C941" t="s">
        <v>1519</v>
      </c>
      <c r="D941" t="s">
        <v>1520</v>
      </c>
      <c r="E941">
        <v>46.9</v>
      </c>
      <c r="F941">
        <v>14.8</v>
      </c>
      <c r="G941">
        <v>5.7</v>
      </c>
      <c r="H941">
        <v>7.5</v>
      </c>
    </row>
    <row r="942" spans="1:8" x14ac:dyDescent="0.35">
      <c r="A942">
        <v>940</v>
      </c>
      <c r="B942" t="s">
        <v>1475</v>
      </c>
      <c r="C942" t="s">
        <v>1521</v>
      </c>
      <c r="D942" t="s">
        <v>1522</v>
      </c>
      <c r="E942">
        <v>44.8</v>
      </c>
      <c r="F942">
        <v>7.1</v>
      </c>
      <c r="G942">
        <v>11.5</v>
      </c>
      <c r="H942">
        <v>4.3</v>
      </c>
    </row>
    <row r="943" spans="1:8" x14ac:dyDescent="0.35">
      <c r="A943">
        <v>941</v>
      </c>
      <c r="B943" t="s">
        <v>1475</v>
      </c>
      <c r="C943" t="s">
        <v>1523</v>
      </c>
      <c r="D943" t="s">
        <v>489</v>
      </c>
      <c r="E943">
        <v>19.8</v>
      </c>
      <c r="F943">
        <v>9</v>
      </c>
      <c r="G943">
        <v>10.199999999999999</v>
      </c>
      <c r="H943">
        <v>7.4</v>
      </c>
    </row>
    <row r="944" spans="1:8" x14ac:dyDescent="0.35">
      <c r="A944">
        <v>942</v>
      </c>
      <c r="B944" t="s">
        <v>1475</v>
      </c>
      <c r="C944" t="s">
        <v>1524</v>
      </c>
      <c r="D944" t="s">
        <v>1194</v>
      </c>
      <c r="E944">
        <v>26.8</v>
      </c>
      <c r="F944">
        <v>16.399999999999999</v>
      </c>
      <c r="G944">
        <v>7.8</v>
      </c>
      <c r="H944">
        <v>10.4</v>
      </c>
    </row>
    <row r="945" spans="1:8" x14ac:dyDescent="0.35">
      <c r="A945">
        <v>943</v>
      </c>
      <c r="B945" t="s">
        <v>1475</v>
      </c>
      <c r="C945" t="s">
        <v>1525</v>
      </c>
      <c r="D945" t="s">
        <v>1338</v>
      </c>
      <c r="E945">
        <v>7</v>
      </c>
      <c r="F945">
        <v>17.5</v>
      </c>
      <c r="G945">
        <v>36.9</v>
      </c>
      <c r="H945">
        <v>13.5</v>
      </c>
    </row>
    <row r="946" spans="1:8" x14ac:dyDescent="0.35">
      <c r="A946">
        <v>944</v>
      </c>
      <c r="B946" t="s">
        <v>1475</v>
      </c>
      <c r="C946" t="s">
        <v>1526</v>
      </c>
      <c r="D946" t="s">
        <v>1527</v>
      </c>
      <c r="E946">
        <v>26.6</v>
      </c>
      <c r="F946">
        <v>13.8</v>
      </c>
      <c r="G946">
        <v>16</v>
      </c>
      <c r="H946">
        <v>10.4</v>
      </c>
    </row>
    <row r="947" spans="1:8" x14ac:dyDescent="0.35">
      <c r="A947">
        <v>945</v>
      </c>
      <c r="B947" t="s">
        <v>1475</v>
      </c>
      <c r="C947" t="s">
        <v>1528</v>
      </c>
      <c r="D947" t="s">
        <v>1529</v>
      </c>
      <c r="E947">
        <v>11.9</v>
      </c>
      <c r="F947">
        <v>13</v>
      </c>
      <c r="G947">
        <v>34</v>
      </c>
      <c r="H947">
        <v>13.1</v>
      </c>
    </row>
    <row r="948" spans="1:8" x14ac:dyDescent="0.35">
      <c r="A948">
        <v>946</v>
      </c>
      <c r="B948" t="s">
        <v>1475</v>
      </c>
      <c r="C948" t="s">
        <v>1530</v>
      </c>
      <c r="D948" t="s">
        <v>248</v>
      </c>
      <c r="E948">
        <v>32.700000000000003</v>
      </c>
      <c r="F948">
        <v>10</v>
      </c>
      <c r="G948">
        <v>6.3</v>
      </c>
      <c r="H948">
        <v>21</v>
      </c>
    </row>
    <row r="949" spans="1:8" x14ac:dyDescent="0.35">
      <c r="A949">
        <v>947</v>
      </c>
      <c r="B949" t="s">
        <v>1475</v>
      </c>
      <c r="C949" t="s">
        <v>1531</v>
      </c>
      <c r="D949" t="s">
        <v>1532</v>
      </c>
      <c r="E949">
        <v>14.6</v>
      </c>
      <c r="F949">
        <v>8.6</v>
      </c>
      <c r="G949">
        <v>44.7</v>
      </c>
      <c r="H949">
        <v>15.8</v>
      </c>
    </row>
    <row r="950" spans="1:8" x14ac:dyDescent="0.35">
      <c r="A950">
        <v>948</v>
      </c>
      <c r="B950" t="s">
        <v>1475</v>
      </c>
      <c r="C950" t="s">
        <v>1533</v>
      </c>
      <c r="D950" t="s">
        <v>1534</v>
      </c>
      <c r="E950">
        <v>14.6</v>
      </c>
      <c r="F950">
        <v>17.8</v>
      </c>
      <c r="G950">
        <v>44</v>
      </c>
      <c r="H950">
        <v>8.4</v>
      </c>
    </row>
    <row r="951" spans="1:8" x14ac:dyDescent="0.35">
      <c r="A951">
        <v>949</v>
      </c>
      <c r="B951" t="s">
        <v>1475</v>
      </c>
      <c r="C951" t="s">
        <v>1535</v>
      </c>
      <c r="D951" t="s">
        <v>1536</v>
      </c>
      <c r="E951">
        <v>34.4</v>
      </c>
      <c r="F951">
        <v>4.9000000000000004</v>
      </c>
      <c r="G951">
        <v>18.600000000000001</v>
      </c>
      <c r="H951">
        <v>14</v>
      </c>
    </row>
    <row r="952" spans="1:8" x14ac:dyDescent="0.35">
      <c r="A952">
        <v>950</v>
      </c>
      <c r="B952" t="s">
        <v>1475</v>
      </c>
      <c r="C952" t="s">
        <v>1537</v>
      </c>
      <c r="D952" t="s">
        <v>1538</v>
      </c>
      <c r="E952">
        <v>10.6</v>
      </c>
      <c r="F952">
        <v>15.9</v>
      </c>
      <c r="G952">
        <v>48.6</v>
      </c>
      <c r="H952">
        <v>22.9</v>
      </c>
    </row>
    <row r="953" spans="1:8" x14ac:dyDescent="0.35">
      <c r="A953">
        <v>951</v>
      </c>
      <c r="B953" t="s">
        <v>1475</v>
      </c>
      <c r="C953" t="s">
        <v>1539</v>
      </c>
      <c r="D953" t="s">
        <v>759</v>
      </c>
      <c r="E953">
        <v>5.7</v>
      </c>
      <c r="F953">
        <v>24.6</v>
      </c>
      <c r="G953">
        <v>5.3</v>
      </c>
      <c r="H953">
        <v>29</v>
      </c>
    </row>
    <row r="954" spans="1:8" x14ac:dyDescent="0.35">
      <c r="A954">
        <v>952</v>
      </c>
      <c r="B954" t="s">
        <v>1475</v>
      </c>
      <c r="C954" t="s">
        <v>1540</v>
      </c>
      <c r="D954" t="s">
        <v>81</v>
      </c>
      <c r="E954">
        <v>42.4</v>
      </c>
      <c r="F954">
        <v>3.4</v>
      </c>
      <c r="G954">
        <v>53.9</v>
      </c>
      <c r="H954">
        <v>4.5999999999999996</v>
      </c>
    </row>
    <row r="955" spans="1:8" x14ac:dyDescent="0.35">
      <c r="A955">
        <v>953</v>
      </c>
      <c r="B955" t="s">
        <v>1541</v>
      </c>
      <c r="C955" t="s">
        <v>1542</v>
      </c>
      <c r="D955" t="s">
        <v>1543</v>
      </c>
      <c r="E955">
        <v>3.5</v>
      </c>
      <c r="F955">
        <v>7.4</v>
      </c>
      <c r="G955">
        <v>50</v>
      </c>
      <c r="H955">
        <v>12.4</v>
      </c>
    </row>
    <row r="956" spans="1:8" x14ac:dyDescent="0.35">
      <c r="A956">
        <v>954</v>
      </c>
      <c r="B956" t="s">
        <v>1541</v>
      </c>
      <c r="C956" t="s">
        <v>1544</v>
      </c>
      <c r="D956" t="s">
        <v>1545</v>
      </c>
      <c r="E956">
        <v>12.3</v>
      </c>
      <c r="F956">
        <v>6.5</v>
      </c>
      <c r="G956">
        <v>100</v>
      </c>
      <c r="H956">
        <v>13.5</v>
      </c>
    </row>
    <row r="957" spans="1:8" x14ac:dyDescent="0.35">
      <c r="A957">
        <v>955</v>
      </c>
      <c r="B957" t="s">
        <v>1541</v>
      </c>
      <c r="C957" t="s">
        <v>1546</v>
      </c>
      <c r="D957" t="s">
        <v>947</v>
      </c>
      <c r="E957">
        <v>5</v>
      </c>
      <c r="F957" t="s">
        <v>303</v>
      </c>
      <c r="G957">
        <v>1.1000000000000001</v>
      </c>
      <c r="H957">
        <v>21.5</v>
      </c>
    </row>
    <row r="958" spans="1:8" x14ac:dyDescent="0.35">
      <c r="A958">
        <v>956</v>
      </c>
      <c r="B958">
        <v>47.5</v>
      </c>
      <c r="C958">
        <v>30.9</v>
      </c>
      <c r="D958" t="s">
        <v>1541</v>
      </c>
      <c r="E958">
        <v>20.8</v>
      </c>
      <c r="F958">
        <v>18.7</v>
      </c>
      <c r="G958">
        <v>11.2</v>
      </c>
      <c r="H958">
        <v>11.4</v>
      </c>
    </row>
    <row r="959" spans="1:8" x14ac:dyDescent="0.35">
      <c r="A959">
        <v>957</v>
      </c>
      <c r="B959" t="s">
        <v>1541</v>
      </c>
      <c r="C959" t="s">
        <v>1547</v>
      </c>
      <c r="D959" t="s">
        <v>1548</v>
      </c>
      <c r="E959">
        <v>16.2</v>
      </c>
      <c r="F959">
        <v>7.5</v>
      </c>
      <c r="G959">
        <v>10.7</v>
      </c>
      <c r="H959">
        <v>10.4</v>
      </c>
    </row>
    <row r="960" spans="1:8" x14ac:dyDescent="0.35">
      <c r="A960">
        <v>958</v>
      </c>
      <c r="B960" t="s">
        <v>1541</v>
      </c>
      <c r="C960" t="s">
        <v>1549</v>
      </c>
      <c r="D960" t="s">
        <v>1550</v>
      </c>
      <c r="E960">
        <v>19.3</v>
      </c>
      <c r="F960">
        <v>9.3000000000000007</v>
      </c>
      <c r="G960">
        <v>53.6</v>
      </c>
      <c r="H960">
        <v>9.1999999999999993</v>
      </c>
    </row>
    <row r="961" spans="1:8" x14ac:dyDescent="0.35">
      <c r="A961">
        <v>959</v>
      </c>
      <c r="B961" t="s">
        <v>1541</v>
      </c>
      <c r="C961" t="s">
        <v>1551</v>
      </c>
      <c r="D961" t="s">
        <v>1536</v>
      </c>
      <c r="E961">
        <v>24.5</v>
      </c>
      <c r="F961">
        <v>3.6</v>
      </c>
      <c r="G961">
        <v>27.1</v>
      </c>
      <c r="H961">
        <v>4.7</v>
      </c>
    </row>
    <row r="962" spans="1:8" x14ac:dyDescent="0.35">
      <c r="A962">
        <v>960</v>
      </c>
      <c r="B962" t="s">
        <v>1541</v>
      </c>
      <c r="C962" t="s">
        <v>1552</v>
      </c>
      <c r="D962" t="s">
        <v>1553</v>
      </c>
      <c r="E962">
        <v>22.5</v>
      </c>
      <c r="F962">
        <v>10.1</v>
      </c>
      <c r="G962">
        <v>18.399999999999999</v>
      </c>
      <c r="H962">
        <v>12.7</v>
      </c>
    </row>
    <row r="963" spans="1:8" x14ac:dyDescent="0.35">
      <c r="A963">
        <v>961</v>
      </c>
      <c r="B963" t="s">
        <v>1541</v>
      </c>
      <c r="C963" t="s">
        <v>1554</v>
      </c>
      <c r="D963" t="s">
        <v>1555</v>
      </c>
      <c r="E963">
        <v>5</v>
      </c>
      <c r="F963" t="s">
        <v>303</v>
      </c>
      <c r="G963">
        <v>7.7</v>
      </c>
      <c r="H963">
        <v>6.1</v>
      </c>
    </row>
    <row r="964" spans="1:8" x14ac:dyDescent="0.35">
      <c r="A964">
        <v>962</v>
      </c>
      <c r="B964">
        <v>49.6</v>
      </c>
      <c r="C964">
        <v>28.7</v>
      </c>
      <c r="D964" t="s">
        <v>1541</v>
      </c>
      <c r="E964">
        <v>13.8</v>
      </c>
      <c r="F964">
        <v>12.2</v>
      </c>
      <c r="G964">
        <v>12.9</v>
      </c>
      <c r="H964">
        <v>9.1999999999999993</v>
      </c>
    </row>
    <row r="965" spans="1:8" x14ac:dyDescent="0.35">
      <c r="A965">
        <v>963</v>
      </c>
      <c r="B965" t="s">
        <v>1541</v>
      </c>
      <c r="C965" t="s">
        <v>1556</v>
      </c>
      <c r="D965" t="s">
        <v>1557</v>
      </c>
      <c r="E965">
        <v>5</v>
      </c>
      <c r="F965" t="s">
        <v>303</v>
      </c>
      <c r="G965">
        <v>10.7</v>
      </c>
      <c r="H965">
        <v>5.2</v>
      </c>
    </row>
    <row r="966" spans="1:8" x14ac:dyDescent="0.35">
      <c r="A966">
        <v>964</v>
      </c>
      <c r="B966">
        <v>69.2</v>
      </c>
      <c r="C966">
        <v>7.4</v>
      </c>
      <c r="D966" t="s">
        <v>1541</v>
      </c>
      <c r="E966">
        <v>10.8</v>
      </c>
      <c r="F966">
        <v>9.5</v>
      </c>
      <c r="G966">
        <v>35</v>
      </c>
      <c r="H966">
        <v>5.2</v>
      </c>
    </row>
    <row r="967" spans="1:8" x14ac:dyDescent="0.35">
      <c r="A967">
        <v>965</v>
      </c>
      <c r="B967" t="s">
        <v>1541</v>
      </c>
      <c r="C967" t="s">
        <v>1558</v>
      </c>
      <c r="D967" t="s">
        <v>1559</v>
      </c>
      <c r="E967">
        <v>18.5</v>
      </c>
      <c r="F967">
        <v>13.1</v>
      </c>
      <c r="G967">
        <v>56.4</v>
      </c>
      <c r="H967">
        <v>7.5</v>
      </c>
    </row>
    <row r="968" spans="1:8" x14ac:dyDescent="0.35">
      <c r="A968">
        <v>966</v>
      </c>
      <c r="B968" t="s">
        <v>1541</v>
      </c>
      <c r="C968" t="s">
        <v>1560</v>
      </c>
      <c r="D968">
        <v>5</v>
      </c>
      <c r="E968">
        <v>3.5</v>
      </c>
      <c r="F968">
        <v>7.9</v>
      </c>
      <c r="G968">
        <v>27.7</v>
      </c>
      <c r="H968">
        <v>17</v>
      </c>
    </row>
    <row r="969" spans="1:8" x14ac:dyDescent="0.35">
      <c r="A969">
        <v>967</v>
      </c>
      <c r="B969" t="s">
        <v>1541</v>
      </c>
      <c r="C969" t="s">
        <v>1561</v>
      </c>
      <c r="D969" t="s">
        <v>769</v>
      </c>
      <c r="E969">
        <v>8.8000000000000007</v>
      </c>
      <c r="F969">
        <v>9.8000000000000007</v>
      </c>
      <c r="G969">
        <v>60.5</v>
      </c>
      <c r="H969">
        <v>5.7</v>
      </c>
    </row>
    <row r="970" spans="1:8" x14ac:dyDescent="0.35">
      <c r="A970">
        <v>968</v>
      </c>
      <c r="B970" t="s">
        <v>1541</v>
      </c>
      <c r="C970" t="s">
        <v>1562</v>
      </c>
      <c r="D970" t="s">
        <v>1563</v>
      </c>
      <c r="E970">
        <v>10.9</v>
      </c>
      <c r="F970">
        <v>8.6</v>
      </c>
      <c r="G970">
        <v>82.1</v>
      </c>
      <c r="H970">
        <v>3.8</v>
      </c>
    </row>
    <row r="971" spans="1:8" x14ac:dyDescent="0.35">
      <c r="A971">
        <v>969</v>
      </c>
      <c r="B971" t="s">
        <v>1541</v>
      </c>
      <c r="C971" t="s">
        <v>1564</v>
      </c>
      <c r="D971" t="s">
        <v>1565</v>
      </c>
      <c r="E971">
        <v>4</v>
      </c>
      <c r="F971" t="s">
        <v>303</v>
      </c>
      <c r="G971">
        <v>1.2</v>
      </c>
      <c r="H971">
        <v>14.8</v>
      </c>
    </row>
    <row r="972" spans="1:8" x14ac:dyDescent="0.35">
      <c r="A972">
        <v>970</v>
      </c>
      <c r="B972">
        <v>68.3</v>
      </c>
      <c r="C972">
        <v>29.7</v>
      </c>
      <c r="D972" t="s">
        <v>1541</v>
      </c>
      <c r="E972">
        <v>22.9</v>
      </c>
      <c r="F972">
        <v>14.5</v>
      </c>
      <c r="G972">
        <v>10.7</v>
      </c>
      <c r="H972">
        <v>12.8</v>
      </c>
    </row>
    <row r="973" spans="1:8" x14ac:dyDescent="0.35">
      <c r="A973">
        <v>971</v>
      </c>
      <c r="B973" t="s">
        <v>1541</v>
      </c>
      <c r="C973" t="s">
        <v>1566</v>
      </c>
      <c r="D973" t="s">
        <v>1238</v>
      </c>
      <c r="E973">
        <v>42.4</v>
      </c>
      <c r="F973">
        <v>10.1</v>
      </c>
      <c r="G973">
        <v>14.3</v>
      </c>
      <c r="H973">
        <v>12</v>
      </c>
    </row>
    <row r="974" spans="1:8" x14ac:dyDescent="0.35">
      <c r="A974">
        <v>972</v>
      </c>
      <c r="B974" t="s">
        <v>1541</v>
      </c>
      <c r="C974" t="s">
        <v>1567</v>
      </c>
      <c r="D974" t="s">
        <v>579</v>
      </c>
      <c r="E974">
        <v>14.6</v>
      </c>
      <c r="F974">
        <v>8.6</v>
      </c>
      <c r="G974">
        <v>14.3</v>
      </c>
      <c r="H974">
        <v>29.1</v>
      </c>
    </row>
    <row r="975" spans="1:8" x14ac:dyDescent="0.35">
      <c r="A975">
        <v>973</v>
      </c>
      <c r="B975" t="s">
        <v>1541</v>
      </c>
      <c r="C975" t="s">
        <v>1568</v>
      </c>
      <c r="D975" t="s">
        <v>449</v>
      </c>
      <c r="E975">
        <v>4</v>
      </c>
      <c r="F975" t="s">
        <v>303</v>
      </c>
      <c r="G975">
        <v>10.199999999999999</v>
      </c>
      <c r="H975">
        <v>10.1</v>
      </c>
    </row>
    <row r="976" spans="1:8" x14ac:dyDescent="0.35">
      <c r="A976">
        <v>974</v>
      </c>
      <c r="B976">
        <v>24.8</v>
      </c>
      <c r="C976">
        <v>32.9</v>
      </c>
      <c r="D976" t="s">
        <v>1541</v>
      </c>
      <c r="E976">
        <v>8</v>
      </c>
      <c r="F976">
        <v>11.1</v>
      </c>
      <c r="G976">
        <v>40.6</v>
      </c>
      <c r="H976">
        <v>18.5</v>
      </c>
    </row>
    <row r="977" spans="1:8" x14ac:dyDescent="0.35">
      <c r="A977">
        <v>975</v>
      </c>
      <c r="B977" t="s">
        <v>1541</v>
      </c>
      <c r="C977" t="s">
        <v>1569</v>
      </c>
      <c r="D977" t="s">
        <v>1570</v>
      </c>
      <c r="E977">
        <v>5</v>
      </c>
      <c r="F977" t="s">
        <v>303</v>
      </c>
      <c r="G977" t="s">
        <v>304</v>
      </c>
      <c r="H977">
        <v>24.6</v>
      </c>
    </row>
    <row r="978" spans="1:8" x14ac:dyDescent="0.35">
      <c r="A978">
        <v>976</v>
      </c>
      <c r="B978">
        <v>10.8</v>
      </c>
      <c r="C978">
        <v>3.6</v>
      </c>
      <c r="D978">
        <v>11</v>
      </c>
      <c r="E978">
        <v>2.2000000000000002</v>
      </c>
      <c r="F978">
        <v>18.899999999999999</v>
      </c>
      <c r="G978">
        <v>23</v>
      </c>
      <c r="H978">
        <v>30.8</v>
      </c>
    </row>
    <row r="979" spans="1:8" x14ac:dyDescent="0.35">
      <c r="A979">
        <v>977</v>
      </c>
      <c r="B979" t="s">
        <v>1541</v>
      </c>
      <c r="C979" t="s">
        <v>1571</v>
      </c>
      <c r="D979" t="s">
        <v>1572</v>
      </c>
      <c r="E979">
        <v>9.4</v>
      </c>
      <c r="F979">
        <v>6.5</v>
      </c>
      <c r="G979">
        <v>60.9</v>
      </c>
      <c r="H979">
        <v>16.100000000000001</v>
      </c>
    </row>
    <row r="980" spans="1:8" x14ac:dyDescent="0.35">
      <c r="A980">
        <v>978</v>
      </c>
      <c r="B980" t="s">
        <v>1541</v>
      </c>
      <c r="C980" t="s">
        <v>1573</v>
      </c>
      <c r="D980" t="s">
        <v>786</v>
      </c>
      <c r="E980">
        <v>51.9</v>
      </c>
      <c r="F980">
        <v>4.9000000000000004</v>
      </c>
      <c r="G980">
        <v>8.9</v>
      </c>
      <c r="H980">
        <v>7.7</v>
      </c>
    </row>
    <row r="981" spans="1:8" x14ac:dyDescent="0.35">
      <c r="A981">
        <v>979</v>
      </c>
      <c r="B981" t="s">
        <v>1541</v>
      </c>
      <c r="C981" t="s">
        <v>1574</v>
      </c>
      <c r="D981" t="s">
        <v>74</v>
      </c>
      <c r="E981">
        <v>36.4</v>
      </c>
      <c r="F981">
        <v>13.5</v>
      </c>
      <c r="G981">
        <v>15.8</v>
      </c>
      <c r="H981">
        <v>12.3</v>
      </c>
    </row>
    <row r="982" spans="1:8" x14ac:dyDescent="0.35">
      <c r="A982">
        <v>980</v>
      </c>
      <c r="B982" t="s">
        <v>1541</v>
      </c>
      <c r="C982" t="s">
        <v>1575</v>
      </c>
      <c r="D982" t="s">
        <v>991</v>
      </c>
      <c r="E982">
        <v>5</v>
      </c>
      <c r="F982" t="s">
        <v>303</v>
      </c>
      <c r="G982">
        <v>11.2</v>
      </c>
      <c r="H982">
        <v>15.7</v>
      </c>
    </row>
    <row r="983" spans="1:8" x14ac:dyDescent="0.35">
      <c r="A983">
        <v>981</v>
      </c>
      <c r="B983">
        <v>11</v>
      </c>
      <c r="C983">
        <v>23.3</v>
      </c>
      <c r="D983" t="s">
        <v>1541</v>
      </c>
      <c r="E983">
        <v>1.4</v>
      </c>
      <c r="F983">
        <v>16.3</v>
      </c>
      <c r="G983">
        <v>56.4</v>
      </c>
      <c r="H983">
        <v>27.3</v>
      </c>
    </row>
    <row r="984" spans="1:8" x14ac:dyDescent="0.35">
      <c r="A984">
        <v>982</v>
      </c>
      <c r="B984" t="s">
        <v>1541</v>
      </c>
      <c r="C984" t="s">
        <v>1576</v>
      </c>
      <c r="D984" t="s">
        <v>1577</v>
      </c>
      <c r="E984">
        <v>22.4</v>
      </c>
      <c r="F984">
        <v>16</v>
      </c>
      <c r="G984">
        <v>25.3</v>
      </c>
      <c r="H984">
        <v>6.5</v>
      </c>
    </row>
    <row r="985" spans="1:8" x14ac:dyDescent="0.35">
      <c r="A985">
        <v>983</v>
      </c>
      <c r="B985" t="s">
        <v>1541</v>
      </c>
      <c r="C985" t="s">
        <v>1578</v>
      </c>
      <c r="D985" t="s">
        <v>1579</v>
      </c>
      <c r="E985">
        <v>7.6</v>
      </c>
      <c r="F985">
        <v>15.8</v>
      </c>
      <c r="G985">
        <v>44.1</v>
      </c>
      <c r="H985">
        <v>7.1</v>
      </c>
    </row>
    <row r="986" spans="1:8" x14ac:dyDescent="0.35">
      <c r="A986">
        <v>984</v>
      </c>
      <c r="B986" t="s">
        <v>1541</v>
      </c>
      <c r="C986" t="s">
        <v>1580</v>
      </c>
      <c r="D986" t="s">
        <v>618</v>
      </c>
      <c r="E986">
        <v>1.9</v>
      </c>
      <c r="F986">
        <v>30.7</v>
      </c>
      <c r="G986">
        <v>11.1</v>
      </c>
      <c r="H986">
        <v>23.2</v>
      </c>
    </row>
    <row r="987" spans="1:8" x14ac:dyDescent="0.35">
      <c r="A987">
        <v>985</v>
      </c>
      <c r="B987" t="s">
        <v>1541</v>
      </c>
      <c r="C987" t="s">
        <v>1581</v>
      </c>
      <c r="D987" t="s">
        <v>1582</v>
      </c>
      <c r="E987">
        <v>58.6</v>
      </c>
      <c r="F987">
        <v>5</v>
      </c>
      <c r="G987">
        <v>4.4000000000000004</v>
      </c>
      <c r="H987">
        <v>2.6</v>
      </c>
    </row>
    <row r="988" spans="1:8" x14ac:dyDescent="0.35">
      <c r="A988">
        <v>986</v>
      </c>
      <c r="B988" t="s">
        <v>1541</v>
      </c>
      <c r="C988" t="s">
        <v>1583</v>
      </c>
      <c r="D988" t="s">
        <v>1584</v>
      </c>
      <c r="E988">
        <v>2.2999999999999998</v>
      </c>
      <c r="F988">
        <v>20.100000000000001</v>
      </c>
      <c r="G988">
        <v>30.2</v>
      </c>
      <c r="H988">
        <v>25.8</v>
      </c>
    </row>
    <row r="989" spans="1:8" x14ac:dyDescent="0.35">
      <c r="A989">
        <v>987</v>
      </c>
      <c r="B989" t="s">
        <v>1541</v>
      </c>
      <c r="C989" t="s">
        <v>1585</v>
      </c>
      <c r="D989" t="s">
        <v>1586</v>
      </c>
      <c r="E989">
        <v>15</v>
      </c>
      <c r="F989">
        <v>6</v>
      </c>
      <c r="G989">
        <v>100</v>
      </c>
      <c r="H989">
        <v>1.8</v>
      </c>
    </row>
    <row r="990" spans="1:8" x14ac:dyDescent="0.35">
      <c r="A990">
        <v>988</v>
      </c>
      <c r="B990" t="s">
        <v>1541</v>
      </c>
      <c r="C990" t="s">
        <v>1587</v>
      </c>
      <c r="D990" t="s">
        <v>1588</v>
      </c>
      <c r="E990">
        <v>14.7</v>
      </c>
      <c r="F990">
        <v>8.3000000000000007</v>
      </c>
      <c r="G990">
        <v>34.200000000000003</v>
      </c>
      <c r="H990">
        <v>4.2</v>
      </c>
    </row>
    <row r="991" spans="1:8" x14ac:dyDescent="0.35">
      <c r="A991">
        <v>989</v>
      </c>
      <c r="B991" t="s">
        <v>1541</v>
      </c>
      <c r="C991" t="s">
        <v>1589</v>
      </c>
      <c r="D991" t="s">
        <v>884</v>
      </c>
      <c r="E991">
        <v>11.5</v>
      </c>
      <c r="F991">
        <v>20</v>
      </c>
      <c r="G991">
        <v>1.9</v>
      </c>
      <c r="H991">
        <v>13.6</v>
      </c>
    </row>
    <row r="992" spans="1:8" x14ac:dyDescent="0.35">
      <c r="A992">
        <v>990</v>
      </c>
      <c r="B992" t="s">
        <v>1541</v>
      </c>
      <c r="C992" t="s">
        <v>1590</v>
      </c>
      <c r="D992" t="s">
        <v>1591</v>
      </c>
      <c r="E992">
        <v>39.5</v>
      </c>
      <c r="F992">
        <v>10.3</v>
      </c>
      <c r="G992">
        <v>6.4</v>
      </c>
      <c r="H992">
        <v>8.1999999999999993</v>
      </c>
    </row>
    <row r="993" spans="1:8" x14ac:dyDescent="0.35">
      <c r="A993">
        <v>991</v>
      </c>
      <c r="B993" t="s">
        <v>1541</v>
      </c>
      <c r="C993" t="s">
        <v>1592</v>
      </c>
      <c r="D993" t="s">
        <v>1593</v>
      </c>
      <c r="E993">
        <v>15.6</v>
      </c>
      <c r="F993">
        <v>13.8</v>
      </c>
      <c r="G993">
        <v>45.7</v>
      </c>
      <c r="H993">
        <v>10.9</v>
      </c>
    </row>
    <row r="994" spans="1:8" x14ac:dyDescent="0.35">
      <c r="A994">
        <v>992</v>
      </c>
      <c r="B994" t="s">
        <v>1541</v>
      </c>
      <c r="C994" t="s">
        <v>1594</v>
      </c>
      <c r="D994" t="s">
        <v>1595</v>
      </c>
      <c r="E994">
        <v>27.5</v>
      </c>
      <c r="F994">
        <v>8.9</v>
      </c>
      <c r="G994">
        <v>67.7</v>
      </c>
      <c r="H994">
        <v>5.2</v>
      </c>
    </row>
    <row r="995" spans="1:8" x14ac:dyDescent="0.35">
      <c r="A995">
        <v>993</v>
      </c>
      <c r="B995" t="s">
        <v>1541</v>
      </c>
      <c r="C995" t="s">
        <v>1596</v>
      </c>
      <c r="D995" t="s">
        <v>1597</v>
      </c>
      <c r="E995">
        <v>15.8</v>
      </c>
      <c r="F995">
        <v>3.1</v>
      </c>
      <c r="G995">
        <v>99.8</v>
      </c>
      <c r="H995">
        <v>3.9</v>
      </c>
    </row>
    <row r="996" spans="1:8" x14ac:dyDescent="0.35">
      <c r="A996">
        <v>994</v>
      </c>
      <c r="B996" t="s">
        <v>1541</v>
      </c>
      <c r="C996" t="s">
        <v>1598</v>
      </c>
      <c r="D996" t="s">
        <v>1599</v>
      </c>
      <c r="E996">
        <v>5.7</v>
      </c>
      <c r="F996">
        <v>12.7</v>
      </c>
      <c r="G996">
        <v>7.6</v>
      </c>
      <c r="H996">
        <v>16</v>
      </c>
    </row>
    <row r="997" spans="1:8" x14ac:dyDescent="0.35">
      <c r="A997">
        <v>995</v>
      </c>
      <c r="B997" t="s">
        <v>1541</v>
      </c>
      <c r="C997" t="s">
        <v>1600</v>
      </c>
      <c r="D997" t="s">
        <v>1277</v>
      </c>
      <c r="E997">
        <v>5</v>
      </c>
      <c r="F997" t="s">
        <v>303</v>
      </c>
      <c r="G997">
        <v>2.1</v>
      </c>
      <c r="H997">
        <v>17.100000000000001</v>
      </c>
    </row>
    <row r="998" spans="1:8" x14ac:dyDescent="0.35">
      <c r="A998">
        <v>996</v>
      </c>
      <c r="B998">
        <v>48.6</v>
      </c>
      <c r="C998">
        <v>4.5999999999999996</v>
      </c>
      <c r="D998" t="s">
        <v>1541</v>
      </c>
      <c r="E998">
        <v>8</v>
      </c>
      <c r="F998">
        <v>7.9</v>
      </c>
      <c r="G998">
        <v>91.8</v>
      </c>
      <c r="H998">
        <v>16</v>
      </c>
    </row>
    <row r="999" spans="1:8" x14ac:dyDescent="0.35">
      <c r="A999">
        <v>997</v>
      </c>
      <c r="B999" t="s">
        <v>1541</v>
      </c>
      <c r="C999" t="s">
        <v>1601</v>
      </c>
      <c r="D999" t="s">
        <v>1246</v>
      </c>
      <c r="E999">
        <v>5</v>
      </c>
      <c r="F999" t="s">
        <v>303</v>
      </c>
      <c r="G999">
        <v>1.7</v>
      </c>
      <c r="H999">
        <v>16.8</v>
      </c>
    </row>
    <row r="1000" spans="1:8" x14ac:dyDescent="0.35">
      <c r="A1000">
        <v>998</v>
      </c>
      <c r="B1000">
        <v>12.3</v>
      </c>
      <c r="C1000">
        <v>41.5</v>
      </c>
      <c r="D1000" t="s">
        <v>1541</v>
      </c>
      <c r="E1000">
        <v>14.2</v>
      </c>
      <c r="F1000">
        <v>12.6</v>
      </c>
      <c r="G1000">
        <v>1</v>
      </c>
      <c r="H1000">
        <v>12.6</v>
      </c>
    </row>
    <row r="1001" spans="1:8" x14ac:dyDescent="0.35">
      <c r="A1001">
        <v>999</v>
      </c>
      <c r="B1001" t="s">
        <v>1541</v>
      </c>
      <c r="C1001" t="s">
        <v>1602</v>
      </c>
      <c r="D1001" t="s">
        <v>1603</v>
      </c>
      <c r="E1001">
        <v>16.399999999999999</v>
      </c>
      <c r="F1001">
        <v>11.6</v>
      </c>
      <c r="G1001">
        <v>40.9</v>
      </c>
      <c r="H1001">
        <v>12.3</v>
      </c>
    </row>
    <row r="1002" spans="1:8" x14ac:dyDescent="0.35">
      <c r="A1002">
        <v>1000</v>
      </c>
      <c r="B1002" t="s">
        <v>1541</v>
      </c>
      <c r="C1002" t="s">
        <v>1604</v>
      </c>
      <c r="D1002" t="s">
        <v>306</v>
      </c>
      <c r="E1002">
        <v>41.4</v>
      </c>
      <c r="F1002">
        <v>8.5</v>
      </c>
      <c r="G1002">
        <v>26.5</v>
      </c>
      <c r="H1002">
        <v>8.9</v>
      </c>
    </row>
    <row r="1003" spans="1:8" x14ac:dyDescent="0.35">
      <c r="A1003">
        <v>1001</v>
      </c>
      <c r="B1003" t="s">
        <v>1605</v>
      </c>
      <c r="C1003" t="s">
        <v>1606</v>
      </c>
      <c r="D1003" t="s">
        <v>1565</v>
      </c>
      <c r="E1003">
        <v>1.3</v>
      </c>
      <c r="F1003">
        <v>9.5</v>
      </c>
      <c r="G1003">
        <v>92.8</v>
      </c>
      <c r="H1003">
        <v>17.7</v>
      </c>
    </row>
    <row r="1004" spans="1:8" x14ac:dyDescent="0.35">
      <c r="A1004">
        <v>1002</v>
      </c>
      <c r="B1004" t="s">
        <v>1605</v>
      </c>
      <c r="C1004" t="s">
        <v>1607</v>
      </c>
      <c r="D1004" t="s">
        <v>947</v>
      </c>
      <c r="E1004">
        <v>1.3</v>
      </c>
      <c r="F1004">
        <v>8.6</v>
      </c>
      <c r="G1004">
        <v>47.5</v>
      </c>
      <c r="H1004">
        <v>29.4</v>
      </c>
    </row>
    <row r="1005" spans="1:8" x14ac:dyDescent="0.35">
      <c r="A1005">
        <v>1003</v>
      </c>
      <c r="B1005" t="s">
        <v>1605</v>
      </c>
      <c r="C1005" t="s">
        <v>1608</v>
      </c>
      <c r="D1005" t="s">
        <v>1368</v>
      </c>
      <c r="E1005">
        <v>3.6</v>
      </c>
      <c r="F1005">
        <v>6.1</v>
      </c>
      <c r="G1005">
        <v>97.6</v>
      </c>
      <c r="H1005">
        <v>16</v>
      </c>
    </row>
    <row r="1006" spans="1:8" x14ac:dyDescent="0.35">
      <c r="A1006">
        <v>1004</v>
      </c>
      <c r="B1006" t="s">
        <v>1605</v>
      </c>
      <c r="C1006" t="s">
        <v>1609</v>
      </c>
      <c r="D1006" t="s">
        <v>675</v>
      </c>
      <c r="E1006">
        <v>2.1</v>
      </c>
      <c r="F1006">
        <v>18.3</v>
      </c>
      <c r="G1006">
        <v>13.3</v>
      </c>
      <c r="H1006">
        <v>19.100000000000001</v>
      </c>
    </row>
    <row r="1007" spans="1:8" x14ac:dyDescent="0.35">
      <c r="A1007">
        <v>1005</v>
      </c>
      <c r="B1007" t="s">
        <v>1605</v>
      </c>
      <c r="C1007" t="s">
        <v>1610</v>
      </c>
      <c r="D1007" t="s">
        <v>1611</v>
      </c>
      <c r="E1007">
        <v>26.5</v>
      </c>
      <c r="F1007">
        <v>16.3</v>
      </c>
      <c r="G1007">
        <v>16.100000000000001</v>
      </c>
      <c r="H1007">
        <v>6.1</v>
      </c>
    </row>
    <row r="1008" spans="1:8" x14ac:dyDescent="0.35">
      <c r="A1008">
        <v>1006</v>
      </c>
      <c r="B1008" t="s">
        <v>1605</v>
      </c>
      <c r="C1008" t="s">
        <v>1612</v>
      </c>
      <c r="D1008" t="s">
        <v>327</v>
      </c>
      <c r="E1008">
        <v>4</v>
      </c>
      <c r="F1008" t="s">
        <v>303</v>
      </c>
      <c r="G1008">
        <v>1.1000000000000001</v>
      </c>
      <c r="H1008">
        <v>5.4</v>
      </c>
    </row>
    <row r="1009" spans="1:8" x14ac:dyDescent="0.35">
      <c r="A1009">
        <v>1007</v>
      </c>
      <c r="B1009">
        <v>96.3</v>
      </c>
      <c r="C1009">
        <v>9.4</v>
      </c>
      <c r="D1009" t="s">
        <v>1605</v>
      </c>
      <c r="E1009">
        <v>4.2</v>
      </c>
      <c r="F1009">
        <v>15.1</v>
      </c>
      <c r="G1009">
        <v>12.5</v>
      </c>
      <c r="H1009">
        <v>8.8000000000000007</v>
      </c>
    </row>
    <row r="1010" spans="1:8" x14ac:dyDescent="0.35">
      <c r="A1010">
        <v>1008</v>
      </c>
      <c r="B1010" t="s">
        <v>1605</v>
      </c>
      <c r="C1010" t="s">
        <v>1613</v>
      </c>
      <c r="D1010" t="s">
        <v>17</v>
      </c>
      <c r="E1010">
        <v>5</v>
      </c>
      <c r="F1010" t="s">
        <v>303</v>
      </c>
      <c r="G1010">
        <v>13.1</v>
      </c>
      <c r="H1010">
        <v>5.0999999999999996</v>
      </c>
    </row>
    <row r="1011" spans="1:8" x14ac:dyDescent="0.35">
      <c r="A1011">
        <v>1009</v>
      </c>
      <c r="B1011">
        <v>3</v>
      </c>
      <c r="C1011">
        <v>5.2</v>
      </c>
      <c r="D1011" t="s">
        <v>1605</v>
      </c>
      <c r="E1011">
        <v>5</v>
      </c>
      <c r="F1011" t="s">
        <v>303</v>
      </c>
      <c r="G1011">
        <v>2.5</v>
      </c>
      <c r="H1011">
        <v>6.4</v>
      </c>
    </row>
    <row r="1012" spans="1:8" x14ac:dyDescent="0.35">
      <c r="A1012">
        <v>1010</v>
      </c>
      <c r="B1012">
        <v>44.9</v>
      </c>
      <c r="C1012">
        <v>16.2</v>
      </c>
      <c r="D1012" t="s">
        <v>1605</v>
      </c>
      <c r="E1012">
        <v>5</v>
      </c>
      <c r="F1012" t="s">
        <v>303</v>
      </c>
      <c r="G1012">
        <v>1.3</v>
      </c>
      <c r="H1012">
        <v>7.9</v>
      </c>
    </row>
    <row r="1013" spans="1:8" x14ac:dyDescent="0.35">
      <c r="A1013">
        <v>1011</v>
      </c>
      <c r="B1013">
        <v>68.3</v>
      </c>
      <c r="C1013">
        <v>12.4</v>
      </c>
      <c r="D1013" t="s">
        <v>1605</v>
      </c>
      <c r="E1013">
        <v>4.0999999999999996</v>
      </c>
      <c r="F1013">
        <v>13.4</v>
      </c>
      <c r="G1013">
        <v>16.7</v>
      </c>
      <c r="H1013">
        <v>14.8</v>
      </c>
    </row>
    <row r="1014" spans="1:8" x14ac:dyDescent="0.35">
      <c r="A1014">
        <v>1012</v>
      </c>
      <c r="B1014" t="s">
        <v>1605</v>
      </c>
      <c r="C1014" t="s">
        <v>1614</v>
      </c>
      <c r="D1014" t="s">
        <v>653</v>
      </c>
      <c r="E1014">
        <v>28.2</v>
      </c>
      <c r="F1014">
        <v>10.4</v>
      </c>
      <c r="G1014">
        <v>1.8</v>
      </c>
      <c r="H1014">
        <v>27.3</v>
      </c>
    </row>
    <row r="1015" spans="1:8" x14ac:dyDescent="0.35">
      <c r="A1015">
        <v>1013</v>
      </c>
      <c r="B1015" t="s">
        <v>1605</v>
      </c>
      <c r="C1015" t="s">
        <v>1615</v>
      </c>
      <c r="D1015" t="s">
        <v>1616</v>
      </c>
      <c r="E1015">
        <v>36.4</v>
      </c>
      <c r="F1015">
        <v>7.3</v>
      </c>
      <c r="G1015">
        <v>2</v>
      </c>
      <c r="H1015">
        <v>7.9</v>
      </c>
    </row>
    <row r="1016" spans="1:8" x14ac:dyDescent="0.35">
      <c r="A1016">
        <v>1014</v>
      </c>
      <c r="B1016" t="s">
        <v>1605</v>
      </c>
      <c r="C1016" t="s">
        <v>1617</v>
      </c>
      <c r="D1016" t="s">
        <v>29</v>
      </c>
      <c r="E1016">
        <v>42.3</v>
      </c>
      <c r="F1016">
        <v>5.9</v>
      </c>
      <c r="G1016">
        <v>20.9</v>
      </c>
      <c r="H1016">
        <v>15</v>
      </c>
    </row>
    <row r="1017" spans="1:8" x14ac:dyDescent="0.35">
      <c r="A1017">
        <v>1015</v>
      </c>
      <c r="B1017" t="s">
        <v>1605</v>
      </c>
      <c r="C1017" t="s">
        <v>1618</v>
      </c>
      <c r="D1017" t="s">
        <v>1619</v>
      </c>
      <c r="E1017">
        <v>4.9000000000000004</v>
      </c>
      <c r="F1017">
        <v>7.1</v>
      </c>
      <c r="G1017">
        <v>90.7</v>
      </c>
      <c r="H1017">
        <v>4</v>
      </c>
    </row>
    <row r="1018" spans="1:8" x14ac:dyDescent="0.35">
      <c r="A1018">
        <v>1016</v>
      </c>
      <c r="B1018" t="s">
        <v>1605</v>
      </c>
      <c r="C1018" t="s">
        <v>1620</v>
      </c>
      <c r="D1018" t="s">
        <v>1621</v>
      </c>
      <c r="E1018">
        <v>6.2</v>
      </c>
      <c r="F1018">
        <v>21.1</v>
      </c>
      <c r="G1018">
        <v>19.399999999999999</v>
      </c>
      <c r="H1018">
        <v>7.4</v>
      </c>
    </row>
    <row r="1019" spans="1:8" x14ac:dyDescent="0.35">
      <c r="A1019">
        <v>1017</v>
      </c>
      <c r="B1019" t="s">
        <v>1605</v>
      </c>
      <c r="C1019" t="s">
        <v>1622</v>
      </c>
      <c r="D1019" t="s">
        <v>1623</v>
      </c>
      <c r="E1019">
        <v>15.2</v>
      </c>
      <c r="F1019">
        <v>12.4</v>
      </c>
      <c r="G1019">
        <v>9.4</v>
      </c>
      <c r="H1019">
        <v>23.4</v>
      </c>
    </row>
    <row r="1020" spans="1:8" x14ac:dyDescent="0.35">
      <c r="A1020">
        <v>1018</v>
      </c>
      <c r="B1020" t="s">
        <v>1605</v>
      </c>
      <c r="C1020" t="s">
        <v>1624</v>
      </c>
      <c r="D1020" t="s">
        <v>127</v>
      </c>
      <c r="E1020">
        <v>6.9</v>
      </c>
      <c r="F1020">
        <v>7.6</v>
      </c>
      <c r="G1020">
        <v>8.6</v>
      </c>
      <c r="H1020">
        <v>7.5</v>
      </c>
    </row>
    <row r="1021" spans="1:8" x14ac:dyDescent="0.35">
      <c r="A1021">
        <v>1019</v>
      </c>
      <c r="B1021" t="s">
        <v>1541</v>
      </c>
      <c r="C1021" t="s">
        <v>1589</v>
      </c>
      <c r="D1021" t="s">
        <v>884</v>
      </c>
      <c r="E1021">
        <v>11.5</v>
      </c>
      <c r="F1021">
        <v>20</v>
      </c>
      <c r="G1021">
        <v>1.9</v>
      </c>
      <c r="H1021">
        <v>13.6</v>
      </c>
    </row>
    <row r="1022" spans="1:8" x14ac:dyDescent="0.35">
      <c r="A1022">
        <v>1020</v>
      </c>
      <c r="B1022" t="s">
        <v>1541</v>
      </c>
      <c r="C1022" t="s">
        <v>1590</v>
      </c>
      <c r="D1022" t="s">
        <v>1591</v>
      </c>
      <c r="E1022">
        <v>39.5</v>
      </c>
      <c r="F1022">
        <v>10.3</v>
      </c>
      <c r="G1022">
        <v>6.4</v>
      </c>
      <c r="H1022">
        <v>8.1999999999999993</v>
      </c>
    </row>
    <row r="1023" spans="1:8" x14ac:dyDescent="0.35">
      <c r="A1023">
        <v>1021</v>
      </c>
      <c r="B1023" t="s">
        <v>1541</v>
      </c>
      <c r="C1023" t="s">
        <v>1592</v>
      </c>
      <c r="D1023" t="s">
        <v>1593</v>
      </c>
      <c r="E1023">
        <v>15.6</v>
      </c>
      <c r="F1023">
        <v>13.8</v>
      </c>
      <c r="G1023">
        <v>45.7</v>
      </c>
      <c r="H1023">
        <v>10.9</v>
      </c>
    </row>
    <row r="1024" spans="1:8" x14ac:dyDescent="0.35">
      <c r="A1024">
        <v>1022</v>
      </c>
      <c r="B1024" t="s">
        <v>1541</v>
      </c>
      <c r="C1024" t="s">
        <v>1594</v>
      </c>
      <c r="D1024" t="s">
        <v>1595</v>
      </c>
      <c r="E1024">
        <v>27.5</v>
      </c>
      <c r="F1024">
        <v>8.9</v>
      </c>
      <c r="G1024">
        <v>67.7</v>
      </c>
      <c r="H1024">
        <v>5.2</v>
      </c>
    </row>
    <row r="1025" spans="1:8" x14ac:dyDescent="0.35">
      <c r="A1025">
        <v>1023</v>
      </c>
      <c r="B1025" t="s">
        <v>1541</v>
      </c>
      <c r="C1025" t="s">
        <v>1596</v>
      </c>
      <c r="D1025" t="s">
        <v>1597</v>
      </c>
      <c r="E1025">
        <v>15.8</v>
      </c>
      <c r="F1025">
        <v>3.1</v>
      </c>
      <c r="G1025">
        <v>99.8</v>
      </c>
      <c r="H1025">
        <v>3.9</v>
      </c>
    </row>
    <row r="1026" spans="1:8" x14ac:dyDescent="0.35">
      <c r="A1026">
        <v>1024</v>
      </c>
      <c r="B1026" t="s">
        <v>1541</v>
      </c>
      <c r="C1026" t="s">
        <v>1598</v>
      </c>
      <c r="D1026" t="s">
        <v>1599</v>
      </c>
      <c r="E1026">
        <v>5.7</v>
      </c>
      <c r="F1026">
        <v>12.7</v>
      </c>
      <c r="G1026">
        <v>7.6</v>
      </c>
      <c r="H1026">
        <v>16</v>
      </c>
    </row>
    <row r="1027" spans="1:8" x14ac:dyDescent="0.35">
      <c r="A1027">
        <v>1025</v>
      </c>
      <c r="B1027" t="s">
        <v>1541</v>
      </c>
      <c r="C1027" t="s">
        <v>1600</v>
      </c>
      <c r="D1027" t="s">
        <v>1277</v>
      </c>
      <c r="E1027">
        <v>5</v>
      </c>
      <c r="F1027" t="s">
        <v>303</v>
      </c>
      <c r="G1027">
        <v>2.1</v>
      </c>
      <c r="H1027">
        <v>17.100000000000001</v>
      </c>
    </row>
    <row r="1028" spans="1:8" x14ac:dyDescent="0.35">
      <c r="A1028">
        <v>1026</v>
      </c>
      <c r="B1028">
        <v>48.6</v>
      </c>
      <c r="C1028">
        <v>4.5999999999999996</v>
      </c>
      <c r="D1028" t="s">
        <v>1541</v>
      </c>
      <c r="E1028">
        <v>8</v>
      </c>
      <c r="F1028">
        <v>7.9</v>
      </c>
      <c r="G1028">
        <v>91.8</v>
      </c>
      <c r="H1028">
        <v>16</v>
      </c>
    </row>
    <row r="1029" spans="1:8" x14ac:dyDescent="0.35">
      <c r="A1029">
        <v>1027</v>
      </c>
      <c r="B1029" t="s">
        <v>1541</v>
      </c>
      <c r="C1029" t="s">
        <v>1601</v>
      </c>
      <c r="D1029" t="s">
        <v>1246</v>
      </c>
      <c r="E1029">
        <v>5</v>
      </c>
      <c r="F1029" t="s">
        <v>303</v>
      </c>
      <c r="G1029">
        <v>1.7</v>
      </c>
      <c r="H1029">
        <v>16.8</v>
      </c>
    </row>
    <row r="1030" spans="1:8" x14ac:dyDescent="0.35">
      <c r="A1030">
        <v>1028</v>
      </c>
      <c r="B1030">
        <v>12.3</v>
      </c>
      <c r="C1030">
        <v>41.5</v>
      </c>
      <c r="D1030" t="s">
        <v>1541</v>
      </c>
      <c r="E1030">
        <v>14.2</v>
      </c>
      <c r="F1030">
        <v>12.6</v>
      </c>
      <c r="G1030">
        <v>1</v>
      </c>
      <c r="H1030">
        <v>12.6</v>
      </c>
    </row>
    <row r="1031" spans="1:8" x14ac:dyDescent="0.35">
      <c r="A1031">
        <v>1029</v>
      </c>
      <c r="B1031" t="s">
        <v>1541</v>
      </c>
      <c r="C1031" t="s">
        <v>1602</v>
      </c>
      <c r="D1031" t="s">
        <v>1603</v>
      </c>
      <c r="E1031">
        <v>16.399999999999999</v>
      </c>
      <c r="F1031">
        <v>11.6</v>
      </c>
      <c r="G1031">
        <v>40.9</v>
      </c>
      <c r="H1031">
        <v>12.3</v>
      </c>
    </row>
    <row r="1032" spans="1:8" x14ac:dyDescent="0.35">
      <c r="A1032">
        <v>1030</v>
      </c>
      <c r="B1032" t="s">
        <v>1541</v>
      </c>
      <c r="C1032" t="s">
        <v>1604</v>
      </c>
      <c r="D1032" t="s">
        <v>306</v>
      </c>
      <c r="E1032">
        <v>41.4</v>
      </c>
      <c r="F1032">
        <v>8.5</v>
      </c>
      <c r="G1032">
        <v>26.5</v>
      </c>
      <c r="H1032">
        <v>8.9</v>
      </c>
    </row>
    <row r="1033" spans="1:8" x14ac:dyDescent="0.35">
      <c r="A1033">
        <v>1031</v>
      </c>
      <c r="B1033" t="s">
        <v>1605</v>
      </c>
      <c r="C1033" t="s">
        <v>1606</v>
      </c>
      <c r="D1033" t="s">
        <v>1565</v>
      </c>
      <c r="E1033">
        <v>1.3</v>
      </c>
      <c r="F1033">
        <v>9.5</v>
      </c>
      <c r="G1033">
        <v>92.8</v>
      </c>
      <c r="H1033">
        <v>17.7</v>
      </c>
    </row>
    <row r="1034" spans="1:8" x14ac:dyDescent="0.35">
      <c r="A1034">
        <v>1032</v>
      </c>
      <c r="B1034" t="s">
        <v>1605</v>
      </c>
      <c r="C1034" t="s">
        <v>1607</v>
      </c>
      <c r="D1034" t="s">
        <v>947</v>
      </c>
      <c r="E1034">
        <v>1.3</v>
      </c>
      <c r="F1034">
        <v>8.6</v>
      </c>
      <c r="G1034">
        <v>47.5</v>
      </c>
      <c r="H1034">
        <v>29.4</v>
      </c>
    </row>
    <row r="1035" spans="1:8" x14ac:dyDescent="0.35">
      <c r="A1035">
        <v>1033</v>
      </c>
      <c r="B1035" t="s">
        <v>1605</v>
      </c>
      <c r="C1035" t="s">
        <v>1608</v>
      </c>
      <c r="D1035" t="s">
        <v>1368</v>
      </c>
      <c r="E1035">
        <v>3.6</v>
      </c>
      <c r="F1035">
        <v>6.1</v>
      </c>
      <c r="G1035">
        <v>97.6</v>
      </c>
      <c r="H1035">
        <v>16</v>
      </c>
    </row>
    <row r="1036" spans="1:8" x14ac:dyDescent="0.35">
      <c r="A1036">
        <v>1034</v>
      </c>
      <c r="B1036" t="s">
        <v>1605</v>
      </c>
      <c r="C1036" t="s">
        <v>1609</v>
      </c>
      <c r="D1036" t="s">
        <v>675</v>
      </c>
      <c r="E1036">
        <v>2.1</v>
      </c>
      <c r="F1036">
        <v>18.3</v>
      </c>
      <c r="G1036">
        <v>13.3</v>
      </c>
      <c r="H1036">
        <v>19.100000000000001</v>
      </c>
    </row>
    <row r="1037" spans="1:8" x14ac:dyDescent="0.35">
      <c r="A1037">
        <v>1035</v>
      </c>
      <c r="B1037" t="s">
        <v>1605</v>
      </c>
      <c r="C1037" t="s">
        <v>1610</v>
      </c>
      <c r="D1037" t="s">
        <v>1611</v>
      </c>
      <c r="E1037">
        <v>26.5</v>
      </c>
      <c r="F1037">
        <v>16.3</v>
      </c>
      <c r="G1037">
        <v>16.100000000000001</v>
      </c>
      <c r="H1037">
        <v>6.1</v>
      </c>
    </row>
    <row r="1038" spans="1:8" x14ac:dyDescent="0.35">
      <c r="A1038">
        <v>1036</v>
      </c>
      <c r="B1038" t="s">
        <v>1605</v>
      </c>
      <c r="C1038" t="s">
        <v>1612</v>
      </c>
      <c r="D1038" t="s">
        <v>327</v>
      </c>
      <c r="E1038">
        <v>4</v>
      </c>
      <c r="F1038" t="s">
        <v>303</v>
      </c>
      <c r="G1038">
        <v>1.1000000000000001</v>
      </c>
      <c r="H1038">
        <v>5.4</v>
      </c>
    </row>
    <row r="1039" spans="1:8" x14ac:dyDescent="0.35">
      <c r="A1039">
        <v>1037</v>
      </c>
      <c r="B1039">
        <v>96.3</v>
      </c>
      <c r="C1039">
        <v>9.4</v>
      </c>
      <c r="D1039" t="s">
        <v>1605</v>
      </c>
      <c r="E1039">
        <v>4.2</v>
      </c>
      <c r="F1039">
        <v>15.1</v>
      </c>
      <c r="G1039">
        <v>12.5</v>
      </c>
      <c r="H1039">
        <v>8.8000000000000007</v>
      </c>
    </row>
    <row r="1040" spans="1:8" x14ac:dyDescent="0.35">
      <c r="A1040">
        <v>1038</v>
      </c>
      <c r="B1040" t="s">
        <v>1605</v>
      </c>
      <c r="C1040" t="s">
        <v>1613</v>
      </c>
      <c r="D1040" t="s">
        <v>17</v>
      </c>
      <c r="E1040">
        <v>5</v>
      </c>
      <c r="F1040" t="s">
        <v>303</v>
      </c>
      <c r="G1040">
        <v>13.1</v>
      </c>
      <c r="H1040">
        <v>5.0999999999999996</v>
      </c>
    </row>
    <row r="1041" spans="1:8" x14ac:dyDescent="0.35">
      <c r="A1041">
        <v>1039</v>
      </c>
      <c r="B1041">
        <v>3</v>
      </c>
      <c r="C1041">
        <v>5.2</v>
      </c>
      <c r="D1041" t="s">
        <v>1605</v>
      </c>
      <c r="E1041">
        <v>5</v>
      </c>
      <c r="F1041" t="s">
        <v>303</v>
      </c>
      <c r="G1041">
        <v>2.5</v>
      </c>
      <c r="H1041">
        <v>6.4</v>
      </c>
    </row>
    <row r="1042" spans="1:8" x14ac:dyDescent="0.35">
      <c r="A1042">
        <v>1040</v>
      </c>
      <c r="B1042">
        <v>44.9</v>
      </c>
      <c r="C1042">
        <v>16.2</v>
      </c>
      <c r="D1042" t="s">
        <v>1605</v>
      </c>
      <c r="E1042">
        <v>5</v>
      </c>
      <c r="F1042" t="s">
        <v>303</v>
      </c>
      <c r="G1042">
        <v>1.3</v>
      </c>
      <c r="H1042">
        <v>7.9</v>
      </c>
    </row>
    <row r="1043" spans="1:8" x14ac:dyDescent="0.35">
      <c r="A1043">
        <v>1041</v>
      </c>
      <c r="B1043">
        <v>68.3</v>
      </c>
      <c r="C1043">
        <v>12.4</v>
      </c>
      <c r="D1043" t="s">
        <v>1605</v>
      </c>
      <c r="E1043">
        <v>4.0999999999999996</v>
      </c>
      <c r="F1043">
        <v>13.4</v>
      </c>
      <c r="G1043">
        <v>16.7</v>
      </c>
      <c r="H1043">
        <v>14.8</v>
      </c>
    </row>
    <row r="1044" spans="1:8" x14ac:dyDescent="0.35">
      <c r="A1044">
        <v>1042</v>
      </c>
      <c r="B1044" t="s">
        <v>1605</v>
      </c>
      <c r="C1044" t="s">
        <v>1614</v>
      </c>
      <c r="D1044" t="s">
        <v>653</v>
      </c>
      <c r="E1044">
        <v>28.2</v>
      </c>
      <c r="F1044">
        <v>10.4</v>
      </c>
      <c r="G1044">
        <v>1.8</v>
      </c>
      <c r="H1044">
        <v>27.3</v>
      </c>
    </row>
    <row r="1045" spans="1:8" x14ac:dyDescent="0.35">
      <c r="A1045">
        <v>1043</v>
      </c>
      <c r="B1045" t="s">
        <v>1605</v>
      </c>
      <c r="C1045" t="s">
        <v>1615</v>
      </c>
      <c r="D1045" t="s">
        <v>1616</v>
      </c>
      <c r="E1045">
        <v>36.4</v>
      </c>
      <c r="F1045">
        <v>7.3</v>
      </c>
      <c r="G1045">
        <v>2</v>
      </c>
      <c r="H1045">
        <v>7.9</v>
      </c>
    </row>
    <row r="1046" spans="1:8" x14ac:dyDescent="0.35">
      <c r="A1046">
        <v>1044</v>
      </c>
      <c r="B1046" t="s">
        <v>1605</v>
      </c>
      <c r="C1046" t="s">
        <v>1617</v>
      </c>
      <c r="D1046" t="s">
        <v>29</v>
      </c>
      <c r="E1046">
        <v>42.3</v>
      </c>
      <c r="F1046">
        <v>5.9</v>
      </c>
      <c r="G1046">
        <v>20.9</v>
      </c>
      <c r="H1046">
        <v>15</v>
      </c>
    </row>
    <row r="1047" spans="1:8" x14ac:dyDescent="0.35">
      <c r="A1047">
        <v>1045</v>
      </c>
      <c r="B1047" t="s">
        <v>1605</v>
      </c>
      <c r="C1047" t="s">
        <v>1618</v>
      </c>
      <c r="D1047" t="s">
        <v>1619</v>
      </c>
      <c r="E1047">
        <v>4.9000000000000004</v>
      </c>
      <c r="F1047">
        <v>7.1</v>
      </c>
      <c r="G1047">
        <v>90.7</v>
      </c>
      <c r="H1047">
        <v>4</v>
      </c>
    </row>
    <row r="1048" spans="1:8" x14ac:dyDescent="0.35">
      <c r="A1048">
        <v>1046</v>
      </c>
      <c r="B1048" t="s">
        <v>1605</v>
      </c>
      <c r="C1048" t="s">
        <v>1620</v>
      </c>
      <c r="D1048" t="s">
        <v>1621</v>
      </c>
      <c r="E1048">
        <v>6.2</v>
      </c>
      <c r="F1048">
        <v>21.1</v>
      </c>
      <c r="G1048">
        <v>19.399999999999999</v>
      </c>
      <c r="H1048">
        <v>7.4</v>
      </c>
    </row>
    <row r="1049" spans="1:8" x14ac:dyDescent="0.35">
      <c r="A1049">
        <v>1047</v>
      </c>
      <c r="B1049" t="s">
        <v>1605</v>
      </c>
      <c r="C1049" t="s">
        <v>1622</v>
      </c>
      <c r="D1049" t="s">
        <v>1623</v>
      </c>
      <c r="E1049">
        <v>15.2</v>
      </c>
      <c r="F1049">
        <v>12.4</v>
      </c>
      <c r="G1049">
        <v>9.4</v>
      </c>
      <c r="H1049">
        <v>23.4</v>
      </c>
    </row>
    <row r="1050" spans="1:8" x14ac:dyDescent="0.35">
      <c r="A1050">
        <v>1048</v>
      </c>
      <c r="B1050" t="s">
        <v>1605</v>
      </c>
      <c r="C1050" t="s">
        <v>1624</v>
      </c>
      <c r="D1050" t="s">
        <v>127</v>
      </c>
      <c r="E1050">
        <v>6.9</v>
      </c>
      <c r="F1050">
        <v>7.6</v>
      </c>
      <c r="G1050">
        <v>8.6</v>
      </c>
      <c r="H1050">
        <v>7.5</v>
      </c>
    </row>
    <row r="1051" spans="1:8" x14ac:dyDescent="0.35">
      <c r="A1051">
        <v>1049</v>
      </c>
      <c r="B1051" t="s">
        <v>1605</v>
      </c>
      <c r="C1051" t="s">
        <v>1625</v>
      </c>
      <c r="D1051" t="s">
        <v>1626</v>
      </c>
      <c r="E1051">
        <v>4.5</v>
      </c>
      <c r="F1051">
        <v>10.3</v>
      </c>
      <c r="G1051">
        <v>6.7</v>
      </c>
      <c r="H1051">
        <v>5</v>
      </c>
    </row>
    <row r="1052" spans="1:8" x14ac:dyDescent="0.35">
      <c r="A1052">
        <v>1050</v>
      </c>
      <c r="B1052" t="s">
        <v>1605</v>
      </c>
      <c r="C1052" t="s">
        <v>1627</v>
      </c>
      <c r="D1052" t="s">
        <v>1628</v>
      </c>
      <c r="E1052">
        <v>1.2</v>
      </c>
      <c r="F1052">
        <v>9.5</v>
      </c>
      <c r="G1052">
        <v>87.4</v>
      </c>
      <c r="H1052">
        <v>4.5999999999999996</v>
      </c>
    </row>
    <row r="1053" spans="1:8" x14ac:dyDescent="0.35">
      <c r="A1053">
        <v>1051</v>
      </c>
      <c r="B1053" t="s">
        <v>1605</v>
      </c>
      <c r="C1053" t="s">
        <v>1629</v>
      </c>
      <c r="D1053" t="s">
        <v>1630</v>
      </c>
      <c r="E1053">
        <v>5</v>
      </c>
      <c r="F1053" t="s">
        <v>303</v>
      </c>
      <c r="G1053" t="s">
        <v>304</v>
      </c>
      <c r="H1053">
        <v>5.7</v>
      </c>
    </row>
    <row r="1054" spans="1:8" x14ac:dyDescent="0.35">
      <c r="A1054">
        <v>1052</v>
      </c>
      <c r="B1054">
        <v>4.5</v>
      </c>
      <c r="C1054">
        <v>49.7</v>
      </c>
      <c r="D1054">
        <v>4.5</v>
      </c>
      <c r="E1054">
        <v>14.3</v>
      </c>
      <c r="F1054">
        <v>9.1</v>
      </c>
      <c r="G1054">
        <v>29.2</v>
      </c>
      <c r="H1054">
        <v>7.9</v>
      </c>
    </row>
    <row r="1055" spans="1:8" x14ac:dyDescent="0.35">
      <c r="A1055">
        <v>1053</v>
      </c>
      <c r="B1055" t="s">
        <v>1605</v>
      </c>
      <c r="C1055" t="s">
        <v>1631</v>
      </c>
      <c r="D1055" t="s">
        <v>1632</v>
      </c>
      <c r="E1055">
        <v>26.2</v>
      </c>
      <c r="F1055">
        <v>9.4</v>
      </c>
      <c r="G1055">
        <v>11.1</v>
      </c>
      <c r="H1055">
        <v>8.6999999999999993</v>
      </c>
    </row>
    <row r="1056" spans="1:8" x14ac:dyDescent="0.35">
      <c r="A1056">
        <v>1054</v>
      </c>
      <c r="B1056" t="s">
        <v>1605</v>
      </c>
      <c r="C1056" t="s">
        <v>1633</v>
      </c>
      <c r="D1056" t="s">
        <v>385</v>
      </c>
      <c r="E1056">
        <v>16.100000000000001</v>
      </c>
      <c r="F1056">
        <v>18.899999999999999</v>
      </c>
      <c r="G1056">
        <v>15.6</v>
      </c>
      <c r="H1056">
        <v>13.5</v>
      </c>
    </row>
    <row r="1057" spans="1:8" x14ac:dyDescent="0.35">
      <c r="A1057">
        <v>1055</v>
      </c>
      <c r="B1057" t="s">
        <v>1605</v>
      </c>
      <c r="C1057" t="s">
        <v>1634</v>
      </c>
      <c r="D1057" t="s">
        <v>1635</v>
      </c>
      <c r="E1057">
        <v>4.4000000000000004</v>
      </c>
      <c r="F1057">
        <v>7.3</v>
      </c>
      <c r="G1057">
        <v>58</v>
      </c>
      <c r="H1057">
        <v>8.4</v>
      </c>
    </row>
    <row r="1058" spans="1:8" x14ac:dyDescent="0.35">
      <c r="A1058">
        <v>1056</v>
      </c>
      <c r="B1058" t="s">
        <v>1605</v>
      </c>
      <c r="C1058" t="s">
        <v>1636</v>
      </c>
      <c r="D1058" t="s">
        <v>1637</v>
      </c>
      <c r="E1058">
        <v>18.899999999999999</v>
      </c>
      <c r="F1058">
        <v>9</v>
      </c>
      <c r="G1058">
        <v>63.2</v>
      </c>
      <c r="H1058">
        <v>6</v>
      </c>
    </row>
    <row r="1059" spans="1:8" x14ac:dyDescent="0.35">
      <c r="A1059">
        <v>1057</v>
      </c>
      <c r="B1059" t="s">
        <v>1605</v>
      </c>
      <c r="C1059" t="s">
        <v>1638</v>
      </c>
      <c r="D1059" t="s">
        <v>1327</v>
      </c>
      <c r="E1059">
        <v>4</v>
      </c>
      <c r="F1059" t="s">
        <v>303</v>
      </c>
      <c r="G1059">
        <v>3.2</v>
      </c>
      <c r="H1059">
        <v>16</v>
      </c>
    </row>
    <row r="1060" spans="1:8" x14ac:dyDescent="0.35">
      <c r="A1060">
        <v>1058</v>
      </c>
      <c r="B1060">
        <v>13.4</v>
      </c>
      <c r="C1060">
        <v>19.3</v>
      </c>
      <c r="D1060" t="s">
        <v>1605</v>
      </c>
      <c r="E1060">
        <v>5</v>
      </c>
      <c r="F1060" t="s">
        <v>303</v>
      </c>
      <c r="G1060">
        <v>14</v>
      </c>
      <c r="H1060">
        <v>5.9</v>
      </c>
    </row>
    <row r="1061" spans="1:8" x14ac:dyDescent="0.35">
      <c r="A1061">
        <v>1059</v>
      </c>
      <c r="B1061">
        <v>4.5</v>
      </c>
      <c r="C1061">
        <v>8.1</v>
      </c>
      <c r="D1061" t="s">
        <v>1605</v>
      </c>
      <c r="E1061">
        <v>13.3</v>
      </c>
      <c r="F1061">
        <v>6</v>
      </c>
      <c r="G1061">
        <v>56.9</v>
      </c>
      <c r="H1061">
        <v>8.1</v>
      </c>
    </row>
    <row r="1062" spans="1:8" x14ac:dyDescent="0.35">
      <c r="A1062">
        <v>1060</v>
      </c>
      <c r="B1062" t="s">
        <v>1605</v>
      </c>
      <c r="C1062" t="s">
        <v>1639</v>
      </c>
      <c r="D1062" t="s">
        <v>10</v>
      </c>
      <c r="E1062">
        <v>7.9</v>
      </c>
      <c r="F1062">
        <v>4.9000000000000004</v>
      </c>
      <c r="G1062">
        <v>4.0999999999999996</v>
      </c>
      <c r="H1062">
        <v>6.8</v>
      </c>
    </row>
    <row r="1063" spans="1:8" x14ac:dyDescent="0.35">
      <c r="A1063">
        <v>1061</v>
      </c>
      <c r="B1063" t="s">
        <v>1605</v>
      </c>
      <c r="C1063" t="s">
        <v>1640</v>
      </c>
      <c r="D1063" t="s">
        <v>1641</v>
      </c>
      <c r="E1063">
        <v>7.3</v>
      </c>
      <c r="F1063">
        <v>14.5</v>
      </c>
      <c r="G1063">
        <v>4.4000000000000004</v>
      </c>
      <c r="H1063">
        <v>7.5</v>
      </c>
    </row>
    <row r="1064" spans="1:8" x14ac:dyDescent="0.35">
      <c r="A1064">
        <v>1062</v>
      </c>
      <c r="B1064" t="s">
        <v>1605</v>
      </c>
      <c r="C1064" t="s">
        <v>1642</v>
      </c>
      <c r="D1064" t="s">
        <v>1643</v>
      </c>
      <c r="E1064">
        <v>4</v>
      </c>
      <c r="F1064" t="s">
        <v>303</v>
      </c>
      <c r="G1064">
        <v>5.0999999999999996</v>
      </c>
      <c r="H1064">
        <v>16.100000000000001</v>
      </c>
    </row>
    <row r="1065" spans="1:8" x14ac:dyDescent="0.35">
      <c r="A1065">
        <v>1063</v>
      </c>
      <c r="B1065">
        <v>5</v>
      </c>
      <c r="C1065">
        <v>19.7</v>
      </c>
      <c r="D1065" t="s">
        <v>1605</v>
      </c>
      <c r="E1065">
        <v>4.2</v>
      </c>
      <c r="F1065">
        <v>12.1</v>
      </c>
      <c r="G1065">
        <v>5.4</v>
      </c>
      <c r="H1065">
        <v>28.3</v>
      </c>
    </row>
    <row r="1066" spans="1:8" x14ac:dyDescent="0.35">
      <c r="A1066">
        <v>1064</v>
      </c>
      <c r="B1066" t="s">
        <v>1605</v>
      </c>
      <c r="C1066" t="s">
        <v>1644</v>
      </c>
      <c r="D1066" t="s">
        <v>1645</v>
      </c>
      <c r="E1066">
        <v>8.1</v>
      </c>
      <c r="F1066">
        <v>8.1</v>
      </c>
      <c r="G1066">
        <v>36.1</v>
      </c>
      <c r="H1066">
        <v>13</v>
      </c>
    </row>
    <row r="1067" spans="1:8" x14ac:dyDescent="0.35">
      <c r="A1067">
        <v>1065</v>
      </c>
      <c r="B1067" t="s">
        <v>1605</v>
      </c>
      <c r="C1067" t="s">
        <v>1646</v>
      </c>
      <c r="D1067" t="s">
        <v>1647</v>
      </c>
      <c r="E1067">
        <v>34.299999999999997</v>
      </c>
      <c r="F1067">
        <v>7.3</v>
      </c>
      <c r="G1067">
        <v>30.3</v>
      </c>
      <c r="H1067">
        <v>9.1</v>
      </c>
    </row>
    <row r="1068" spans="1:8" x14ac:dyDescent="0.35">
      <c r="A1068">
        <v>1066</v>
      </c>
      <c r="B1068" t="s">
        <v>1605</v>
      </c>
      <c r="C1068" t="s">
        <v>1648</v>
      </c>
      <c r="D1068" t="s">
        <v>579</v>
      </c>
      <c r="E1068">
        <v>5</v>
      </c>
      <c r="F1068" t="s">
        <v>303</v>
      </c>
      <c r="G1068">
        <v>15.9</v>
      </c>
      <c r="H1068">
        <v>6.6</v>
      </c>
    </row>
    <row r="1069" spans="1:8" x14ac:dyDescent="0.35">
      <c r="A1069">
        <v>1067</v>
      </c>
      <c r="B1069">
        <v>9.5</v>
      </c>
      <c r="C1069">
        <v>6.6</v>
      </c>
      <c r="D1069" t="s">
        <v>1605</v>
      </c>
      <c r="E1069">
        <v>33.799999999999997</v>
      </c>
      <c r="F1069">
        <v>6.6</v>
      </c>
      <c r="G1069">
        <v>8</v>
      </c>
      <c r="H1069">
        <v>5.7</v>
      </c>
    </row>
    <row r="1070" spans="1:8" x14ac:dyDescent="0.35">
      <c r="A1070">
        <v>1068</v>
      </c>
      <c r="B1070" t="s">
        <v>1605</v>
      </c>
      <c r="C1070" t="s">
        <v>1649</v>
      </c>
      <c r="D1070" t="s">
        <v>1368</v>
      </c>
      <c r="E1070">
        <v>1.9</v>
      </c>
      <c r="F1070">
        <v>6.3</v>
      </c>
      <c r="G1070">
        <v>69.099999999999994</v>
      </c>
      <c r="H1070">
        <v>16.100000000000001</v>
      </c>
    </row>
    <row r="1071" spans="1:8" x14ac:dyDescent="0.35">
      <c r="A1071">
        <v>1069</v>
      </c>
      <c r="B1071" t="s">
        <v>1605</v>
      </c>
      <c r="C1071" t="s">
        <v>1650</v>
      </c>
      <c r="D1071" t="s">
        <v>1651</v>
      </c>
      <c r="E1071">
        <v>5</v>
      </c>
      <c r="F1071" t="s">
        <v>303</v>
      </c>
      <c r="G1071">
        <v>3.8</v>
      </c>
      <c r="H1071">
        <v>13.1</v>
      </c>
    </row>
    <row r="1072" spans="1:8" x14ac:dyDescent="0.35">
      <c r="A1072">
        <v>1070</v>
      </c>
      <c r="B1072">
        <v>8.9</v>
      </c>
      <c r="C1072">
        <v>27.2</v>
      </c>
      <c r="D1072" t="s">
        <v>1605</v>
      </c>
      <c r="E1072">
        <v>7.1</v>
      </c>
      <c r="F1072">
        <v>4.2</v>
      </c>
      <c r="G1072">
        <v>25.5</v>
      </c>
      <c r="H1072">
        <v>13</v>
      </c>
    </row>
    <row r="1073" spans="1:8" x14ac:dyDescent="0.35">
      <c r="A1073">
        <v>1071</v>
      </c>
      <c r="B1073" t="s">
        <v>1605</v>
      </c>
      <c r="C1073" t="s">
        <v>1652</v>
      </c>
      <c r="D1073" t="s">
        <v>327</v>
      </c>
      <c r="E1073">
        <v>4</v>
      </c>
      <c r="F1073" t="s">
        <v>303</v>
      </c>
      <c r="G1073" t="s">
        <v>304</v>
      </c>
      <c r="H1073">
        <v>1.3</v>
      </c>
    </row>
    <row r="1074" spans="1:8" x14ac:dyDescent="0.35">
      <c r="A1074">
        <v>1072</v>
      </c>
      <c r="B1074">
        <v>12.5</v>
      </c>
      <c r="C1074">
        <v>33.700000000000003</v>
      </c>
      <c r="D1074">
        <v>14</v>
      </c>
      <c r="E1074">
        <v>9.6</v>
      </c>
      <c r="F1074">
        <v>16</v>
      </c>
      <c r="G1074">
        <v>13.8</v>
      </c>
      <c r="H1074">
        <v>24.8</v>
      </c>
    </row>
    <row r="1075" spans="1:8" x14ac:dyDescent="0.35">
      <c r="A1075">
        <v>1073</v>
      </c>
      <c r="B1075" t="s">
        <v>1605</v>
      </c>
      <c r="C1075" t="s">
        <v>1653</v>
      </c>
      <c r="D1075" t="s">
        <v>1469</v>
      </c>
      <c r="E1075">
        <v>1.7</v>
      </c>
      <c r="F1075">
        <v>6.8</v>
      </c>
      <c r="G1075">
        <v>65</v>
      </c>
      <c r="H1075">
        <v>23.2</v>
      </c>
    </row>
    <row r="1076" spans="1:8" x14ac:dyDescent="0.35">
      <c r="A1076">
        <v>1074</v>
      </c>
      <c r="B1076" t="s">
        <v>1605</v>
      </c>
      <c r="C1076" t="s">
        <v>1654</v>
      </c>
      <c r="D1076" t="s">
        <v>1655</v>
      </c>
      <c r="E1076">
        <v>9</v>
      </c>
      <c r="F1076">
        <v>11.3</v>
      </c>
      <c r="G1076">
        <v>66.7</v>
      </c>
      <c r="H1076">
        <v>4.0999999999999996</v>
      </c>
    </row>
    <row r="1077" spans="1:8" x14ac:dyDescent="0.35">
      <c r="A1077">
        <v>1075</v>
      </c>
      <c r="B1077" t="s">
        <v>1605</v>
      </c>
      <c r="C1077" t="s">
        <v>1656</v>
      </c>
      <c r="D1077" t="s">
        <v>1657</v>
      </c>
      <c r="E1077">
        <v>5.8</v>
      </c>
      <c r="F1077">
        <v>6.4</v>
      </c>
      <c r="G1077">
        <v>87.2</v>
      </c>
      <c r="H1077">
        <v>5.7</v>
      </c>
    </row>
    <row r="1078" spans="1:8" x14ac:dyDescent="0.35">
      <c r="A1078">
        <v>1076</v>
      </c>
      <c r="B1078" t="s">
        <v>1605</v>
      </c>
      <c r="C1078" t="s">
        <v>1658</v>
      </c>
      <c r="D1078" t="s">
        <v>1659</v>
      </c>
      <c r="E1078">
        <v>30.9</v>
      </c>
      <c r="F1078">
        <v>5.8</v>
      </c>
      <c r="G1078">
        <v>32.299999999999997</v>
      </c>
      <c r="H1078">
        <v>7.4</v>
      </c>
    </row>
    <row r="1079" spans="1:8" x14ac:dyDescent="0.35">
      <c r="A1079">
        <v>1077</v>
      </c>
      <c r="B1079" t="s">
        <v>1605</v>
      </c>
      <c r="C1079" t="s">
        <v>1660</v>
      </c>
      <c r="D1079" t="s">
        <v>1661</v>
      </c>
      <c r="E1079">
        <v>24.5</v>
      </c>
      <c r="F1079">
        <v>9.6</v>
      </c>
      <c r="G1079">
        <v>5.3</v>
      </c>
      <c r="H1079">
        <v>9.4</v>
      </c>
    </row>
    <row r="1080" spans="1:8" x14ac:dyDescent="0.35">
      <c r="A1080">
        <v>1078</v>
      </c>
      <c r="B1080" t="s">
        <v>1605</v>
      </c>
      <c r="C1080" t="s">
        <v>1662</v>
      </c>
      <c r="D1080" t="s">
        <v>1663</v>
      </c>
      <c r="E1080">
        <v>21</v>
      </c>
      <c r="F1080">
        <v>9.3000000000000007</v>
      </c>
      <c r="G1080">
        <v>5.8</v>
      </c>
      <c r="H1080">
        <v>16.600000000000001</v>
      </c>
    </row>
    <row r="1081" spans="1:8" x14ac:dyDescent="0.35">
      <c r="A1081">
        <v>1079</v>
      </c>
      <c r="B1081" t="s">
        <v>1605</v>
      </c>
      <c r="C1081" t="s">
        <v>1664</v>
      </c>
      <c r="D1081" t="s">
        <v>1665</v>
      </c>
      <c r="E1081">
        <v>5.0999999999999996</v>
      </c>
      <c r="F1081">
        <v>9.5</v>
      </c>
      <c r="G1081">
        <v>35</v>
      </c>
      <c r="H1081">
        <v>3</v>
      </c>
    </row>
    <row r="1082" spans="1:8" x14ac:dyDescent="0.35">
      <c r="A1082">
        <v>1080</v>
      </c>
      <c r="B1082" t="s">
        <v>1605</v>
      </c>
      <c r="C1082" t="s">
        <v>1666</v>
      </c>
      <c r="D1082" t="s">
        <v>528</v>
      </c>
      <c r="E1082">
        <v>30.6</v>
      </c>
      <c r="F1082">
        <v>7</v>
      </c>
      <c r="G1082">
        <v>57.7</v>
      </c>
      <c r="H1082">
        <v>6.1</v>
      </c>
    </row>
    <row r="1083" spans="1:8" x14ac:dyDescent="0.35">
      <c r="A1083">
        <v>1081</v>
      </c>
      <c r="B1083" t="s">
        <v>1605</v>
      </c>
      <c r="C1083" t="s">
        <v>1667</v>
      </c>
      <c r="D1083" t="s">
        <v>997</v>
      </c>
      <c r="E1083">
        <v>26.2</v>
      </c>
      <c r="F1083">
        <v>6.4</v>
      </c>
      <c r="G1083">
        <v>2.6</v>
      </c>
      <c r="H1083">
        <v>11.7</v>
      </c>
    </row>
    <row r="1084" spans="1:8" x14ac:dyDescent="0.35">
      <c r="A1084">
        <v>1082</v>
      </c>
      <c r="B1084" t="s">
        <v>1605</v>
      </c>
      <c r="C1084" t="s">
        <v>1668</v>
      </c>
      <c r="D1084" t="s">
        <v>1669</v>
      </c>
      <c r="E1084">
        <v>12.7</v>
      </c>
      <c r="F1084">
        <v>11</v>
      </c>
      <c r="G1084">
        <v>65.400000000000006</v>
      </c>
      <c r="H1084">
        <v>6.7</v>
      </c>
    </row>
    <row r="1085" spans="1:8" x14ac:dyDescent="0.35">
      <c r="A1085">
        <v>1083</v>
      </c>
      <c r="B1085" t="s">
        <v>1605</v>
      </c>
      <c r="C1085" t="s">
        <v>1670</v>
      </c>
      <c r="D1085" t="s">
        <v>1671</v>
      </c>
      <c r="E1085">
        <v>34.299999999999997</v>
      </c>
      <c r="F1085">
        <v>8.5</v>
      </c>
      <c r="G1085">
        <v>10.8</v>
      </c>
      <c r="H1085">
        <v>11.6</v>
      </c>
    </row>
    <row r="1086" spans="1:8" x14ac:dyDescent="0.35">
      <c r="A1086">
        <v>1084</v>
      </c>
      <c r="B1086" t="s">
        <v>1605</v>
      </c>
      <c r="C1086" t="s">
        <v>1672</v>
      </c>
      <c r="D1086" t="s">
        <v>1673</v>
      </c>
      <c r="E1086">
        <v>5.4</v>
      </c>
      <c r="F1086">
        <v>6.7</v>
      </c>
      <c r="G1086">
        <v>63.9</v>
      </c>
      <c r="H1086">
        <v>5.0999999999999996</v>
      </c>
    </row>
    <row r="1087" spans="1:8" x14ac:dyDescent="0.35">
      <c r="A1087">
        <v>1085</v>
      </c>
      <c r="B1087" t="s">
        <v>1605</v>
      </c>
      <c r="C1087" t="s">
        <v>1674</v>
      </c>
      <c r="D1087" t="s">
        <v>1279</v>
      </c>
      <c r="E1087">
        <v>1.9</v>
      </c>
      <c r="F1087">
        <v>23.7</v>
      </c>
      <c r="G1087">
        <v>10.4</v>
      </c>
      <c r="H1087">
        <v>15.2</v>
      </c>
    </row>
    <row r="1088" spans="1:8" x14ac:dyDescent="0.35">
      <c r="A1088">
        <v>1086</v>
      </c>
      <c r="B1088" t="s">
        <v>1605</v>
      </c>
      <c r="C1088" t="s">
        <v>1675</v>
      </c>
      <c r="D1088" t="s">
        <v>246</v>
      </c>
      <c r="E1088">
        <v>1.7</v>
      </c>
      <c r="F1088">
        <v>14.6</v>
      </c>
      <c r="G1088">
        <v>46.3</v>
      </c>
      <c r="H1088">
        <v>16.8</v>
      </c>
    </row>
    <row r="1089" spans="1:8" x14ac:dyDescent="0.35">
      <c r="A1089">
        <v>1087</v>
      </c>
      <c r="B1089" t="s">
        <v>1605</v>
      </c>
      <c r="C1089" t="s">
        <v>1676</v>
      </c>
      <c r="D1089" t="s">
        <v>1677</v>
      </c>
      <c r="E1089">
        <v>16.8</v>
      </c>
      <c r="F1089">
        <v>5.9</v>
      </c>
      <c r="G1089">
        <v>86.7</v>
      </c>
      <c r="H1089">
        <v>5.7</v>
      </c>
    </row>
    <row r="1090" spans="1:8" x14ac:dyDescent="0.35">
      <c r="A1090">
        <v>1088</v>
      </c>
      <c r="B1090" t="s">
        <v>1605</v>
      </c>
      <c r="C1090" t="s">
        <v>1678</v>
      </c>
      <c r="D1090" t="s">
        <v>1677</v>
      </c>
      <c r="E1090">
        <v>13.1</v>
      </c>
      <c r="F1090">
        <v>12.1</v>
      </c>
      <c r="G1090">
        <v>36.5</v>
      </c>
      <c r="H1090">
        <v>15.3</v>
      </c>
    </row>
    <row r="1091" spans="1:8" x14ac:dyDescent="0.35">
      <c r="A1091">
        <v>1089</v>
      </c>
      <c r="B1091" t="s">
        <v>1605</v>
      </c>
      <c r="C1091" t="s">
        <v>1679</v>
      </c>
      <c r="D1091" t="s">
        <v>487</v>
      </c>
      <c r="E1091">
        <v>6.3</v>
      </c>
      <c r="F1091">
        <v>6.1</v>
      </c>
      <c r="G1091">
        <v>3.3</v>
      </c>
      <c r="H1091">
        <v>33.700000000000003</v>
      </c>
    </row>
    <row r="1092" spans="1:8" x14ac:dyDescent="0.35">
      <c r="A1092">
        <v>1090</v>
      </c>
      <c r="B1092" t="s">
        <v>1605</v>
      </c>
      <c r="C1092" t="s">
        <v>1680</v>
      </c>
      <c r="D1092" t="s">
        <v>1298</v>
      </c>
      <c r="E1092">
        <v>3.7</v>
      </c>
      <c r="F1092">
        <v>7.6</v>
      </c>
      <c r="G1092">
        <v>12.6</v>
      </c>
      <c r="H1092">
        <v>18.8</v>
      </c>
    </row>
    <row r="1093" spans="1:8" x14ac:dyDescent="0.35">
      <c r="A1093">
        <v>1091</v>
      </c>
      <c r="B1093" t="s">
        <v>1605</v>
      </c>
      <c r="C1093" t="s">
        <v>1681</v>
      </c>
      <c r="D1093" t="s">
        <v>1682</v>
      </c>
      <c r="E1093">
        <v>4.2</v>
      </c>
      <c r="F1093">
        <v>7.1</v>
      </c>
      <c r="G1093">
        <v>3.7</v>
      </c>
      <c r="H1093">
        <v>14.2</v>
      </c>
    </row>
    <row r="1094" spans="1:8" x14ac:dyDescent="0.35">
      <c r="A1094">
        <v>1092</v>
      </c>
      <c r="B1094" t="s">
        <v>1605</v>
      </c>
      <c r="C1094" t="s">
        <v>1683</v>
      </c>
      <c r="D1094" t="s">
        <v>513</v>
      </c>
      <c r="E1094">
        <v>12.7</v>
      </c>
      <c r="F1094">
        <v>3.7</v>
      </c>
      <c r="G1094">
        <v>5</v>
      </c>
      <c r="H1094">
        <v>15.3</v>
      </c>
    </row>
    <row r="1095" spans="1:8" x14ac:dyDescent="0.35">
      <c r="A1095">
        <v>1093</v>
      </c>
      <c r="B1095" t="s">
        <v>1605</v>
      </c>
      <c r="C1095" t="s">
        <v>1684</v>
      </c>
      <c r="D1095" t="s">
        <v>1685</v>
      </c>
      <c r="E1095">
        <v>9.1</v>
      </c>
      <c r="F1095">
        <v>7.1</v>
      </c>
      <c r="G1095">
        <v>71.900000000000006</v>
      </c>
      <c r="H1095">
        <v>8</v>
      </c>
    </row>
    <row r="1096" spans="1:8" x14ac:dyDescent="0.35">
      <c r="A1096">
        <v>1094</v>
      </c>
      <c r="B1096" t="s">
        <v>1605</v>
      </c>
      <c r="C1096" t="s">
        <v>1686</v>
      </c>
      <c r="D1096" t="s">
        <v>300</v>
      </c>
      <c r="E1096">
        <v>22</v>
      </c>
      <c r="F1096">
        <v>6.6</v>
      </c>
      <c r="G1096">
        <v>40.1</v>
      </c>
      <c r="H1096">
        <v>3.7</v>
      </c>
    </row>
    <row r="1097" spans="1:8" x14ac:dyDescent="0.35">
      <c r="A1097">
        <v>1095</v>
      </c>
      <c r="B1097" t="s">
        <v>1605</v>
      </c>
      <c r="C1097" t="s">
        <v>1687</v>
      </c>
      <c r="D1097" t="s">
        <v>1688</v>
      </c>
      <c r="E1097">
        <v>5</v>
      </c>
      <c r="F1097" t="s">
        <v>303</v>
      </c>
      <c r="G1097">
        <v>1.3</v>
      </c>
      <c r="H1097">
        <v>19.8</v>
      </c>
    </row>
    <row r="1098" spans="1:8" x14ac:dyDescent="0.35">
      <c r="A1098">
        <v>1096</v>
      </c>
      <c r="B1098">
        <v>40.9</v>
      </c>
      <c r="C1098">
        <v>23.4</v>
      </c>
      <c r="D1098" t="s">
        <v>1605</v>
      </c>
      <c r="E1098">
        <v>19.600000000000001</v>
      </c>
      <c r="F1098">
        <v>12.6</v>
      </c>
      <c r="G1098">
        <v>21.5</v>
      </c>
      <c r="H1098">
        <v>11.9</v>
      </c>
    </row>
    <row r="1099" spans="1:8" x14ac:dyDescent="0.35">
      <c r="A1099">
        <v>1097</v>
      </c>
      <c r="B1099" t="s">
        <v>1605</v>
      </c>
      <c r="C1099" t="s">
        <v>1689</v>
      </c>
      <c r="D1099" t="s">
        <v>528</v>
      </c>
      <c r="E1099">
        <v>53.9</v>
      </c>
      <c r="F1099">
        <v>5.5</v>
      </c>
      <c r="G1099">
        <v>5.5</v>
      </c>
      <c r="H1099">
        <v>12.8</v>
      </c>
    </row>
    <row r="1100" spans="1:8" x14ac:dyDescent="0.35">
      <c r="A1100">
        <v>1098</v>
      </c>
      <c r="B1100" t="s">
        <v>1605</v>
      </c>
      <c r="C1100" t="s">
        <v>1690</v>
      </c>
      <c r="D1100" t="s">
        <v>1691</v>
      </c>
      <c r="E1100">
        <v>5</v>
      </c>
      <c r="F1100" t="s">
        <v>303</v>
      </c>
      <c r="G1100">
        <v>6.3</v>
      </c>
      <c r="H1100">
        <v>9.9</v>
      </c>
    </row>
    <row r="1101" spans="1:8" x14ac:dyDescent="0.35">
      <c r="A1101">
        <v>1099</v>
      </c>
      <c r="B1101">
        <v>11</v>
      </c>
      <c r="C1101">
        <v>13.8</v>
      </c>
      <c r="D1101" t="s">
        <v>1605</v>
      </c>
      <c r="E1101">
        <v>24</v>
      </c>
      <c r="F1101">
        <v>8</v>
      </c>
      <c r="G1101">
        <v>40.5</v>
      </c>
      <c r="H1101">
        <v>7</v>
      </c>
    </row>
    <row r="1102" spans="1:8" x14ac:dyDescent="0.35">
      <c r="A1102">
        <v>1100</v>
      </c>
      <c r="B1102" t="s">
        <v>1605</v>
      </c>
      <c r="C1102" t="s">
        <v>1692</v>
      </c>
      <c r="D1102" t="s">
        <v>1693</v>
      </c>
      <c r="E1102">
        <v>7.4</v>
      </c>
      <c r="F1102">
        <v>6.4</v>
      </c>
      <c r="G1102">
        <v>33.299999999999997</v>
      </c>
      <c r="H1102">
        <v>16.7</v>
      </c>
    </row>
    <row r="1103" spans="1:8" x14ac:dyDescent="0.35">
      <c r="A1103">
        <v>1101</v>
      </c>
      <c r="B1103" t="s">
        <v>1605</v>
      </c>
      <c r="C1103" t="s">
        <v>1694</v>
      </c>
      <c r="D1103" t="s">
        <v>1695</v>
      </c>
      <c r="E1103">
        <v>17.2</v>
      </c>
      <c r="F1103">
        <v>7.5</v>
      </c>
      <c r="G1103">
        <v>33.1</v>
      </c>
      <c r="H1103">
        <v>11.9</v>
      </c>
    </row>
    <row r="1104" spans="1:8" x14ac:dyDescent="0.35">
      <c r="A1104">
        <v>1102</v>
      </c>
      <c r="B1104" t="s">
        <v>1605</v>
      </c>
      <c r="C1104" t="s">
        <v>1696</v>
      </c>
      <c r="D1104" t="s">
        <v>1697</v>
      </c>
      <c r="E1104">
        <v>8.5</v>
      </c>
      <c r="F1104">
        <v>6</v>
      </c>
      <c r="G1104">
        <v>78.2</v>
      </c>
      <c r="H1104">
        <v>13.3</v>
      </c>
    </row>
    <row r="1105" spans="1:8" x14ac:dyDescent="0.35">
      <c r="A1105">
        <v>1103</v>
      </c>
      <c r="B1105" t="s">
        <v>1605</v>
      </c>
      <c r="C1105" t="s">
        <v>1698</v>
      </c>
      <c r="D1105" t="s">
        <v>1699</v>
      </c>
      <c r="E1105">
        <v>3.7</v>
      </c>
      <c r="F1105">
        <v>6.6</v>
      </c>
      <c r="G1105">
        <v>55.5</v>
      </c>
      <c r="H1105">
        <v>10.3</v>
      </c>
    </row>
    <row r="1106" spans="1:8" x14ac:dyDescent="0.35">
      <c r="A1106">
        <v>1104</v>
      </c>
      <c r="B1106" t="s">
        <v>1605</v>
      </c>
      <c r="C1106" t="s">
        <v>1700</v>
      </c>
      <c r="D1106" t="s">
        <v>1701</v>
      </c>
      <c r="E1106">
        <v>10.1</v>
      </c>
      <c r="F1106">
        <v>7.1</v>
      </c>
      <c r="G1106">
        <v>30.2</v>
      </c>
      <c r="H1106">
        <v>12.9</v>
      </c>
    </row>
    <row r="1107" spans="1:8" x14ac:dyDescent="0.35">
      <c r="A1107">
        <v>1105</v>
      </c>
      <c r="B1107" t="s">
        <v>1605</v>
      </c>
      <c r="C1107" t="s">
        <v>1702</v>
      </c>
      <c r="D1107" t="s">
        <v>313</v>
      </c>
      <c r="E1107">
        <v>4</v>
      </c>
      <c r="F1107" t="s">
        <v>303</v>
      </c>
      <c r="G1107">
        <v>9.1</v>
      </c>
      <c r="H1107">
        <v>14.2</v>
      </c>
    </row>
    <row r="1108" spans="1:8" x14ac:dyDescent="0.35">
      <c r="A1108">
        <v>1106</v>
      </c>
      <c r="B1108">
        <v>16</v>
      </c>
      <c r="C1108">
        <v>26.2</v>
      </c>
      <c r="D1108" t="s">
        <v>1605</v>
      </c>
      <c r="E1108">
        <v>3</v>
      </c>
      <c r="F1108" t="s">
        <v>303</v>
      </c>
      <c r="G1108">
        <v>1.1000000000000001</v>
      </c>
      <c r="H1108">
        <v>11.1</v>
      </c>
    </row>
    <row r="1109" spans="1:8" x14ac:dyDescent="0.35">
      <c r="A1109">
        <v>1107</v>
      </c>
      <c r="B1109">
        <v>97.9</v>
      </c>
      <c r="C1109">
        <v>14.9</v>
      </c>
      <c r="D1109" t="s">
        <v>1605</v>
      </c>
      <c r="E1109">
        <v>3.2</v>
      </c>
      <c r="F1109">
        <v>9.9</v>
      </c>
      <c r="G1109">
        <v>25.9</v>
      </c>
      <c r="H1109">
        <v>33.9</v>
      </c>
    </row>
    <row r="1110" spans="1:8" x14ac:dyDescent="0.35">
      <c r="A1110">
        <v>1108</v>
      </c>
      <c r="B1110" t="s">
        <v>1605</v>
      </c>
      <c r="C1110" t="s">
        <v>1703</v>
      </c>
      <c r="D1110" t="s">
        <v>778</v>
      </c>
      <c r="E1110">
        <v>4</v>
      </c>
      <c r="F1110" t="s">
        <v>303</v>
      </c>
      <c r="G1110">
        <v>2.4</v>
      </c>
      <c r="H1110">
        <v>24.4</v>
      </c>
    </row>
    <row r="1111" spans="1:8" x14ac:dyDescent="0.35">
      <c r="A1111">
        <v>1109</v>
      </c>
      <c r="B1111" t="s">
        <v>1605</v>
      </c>
      <c r="C1111" t="s">
        <v>1704</v>
      </c>
      <c r="D1111" t="s">
        <v>1673</v>
      </c>
      <c r="E1111">
        <v>9.1999999999999993</v>
      </c>
      <c r="F1111">
        <v>8.6</v>
      </c>
      <c r="G1111">
        <v>16.399999999999999</v>
      </c>
      <c r="H1111">
        <v>17</v>
      </c>
    </row>
    <row r="1112" spans="1:8" x14ac:dyDescent="0.35">
      <c r="A1112">
        <v>1110</v>
      </c>
      <c r="B1112" t="s">
        <v>1605</v>
      </c>
      <c r="C1112" t="s">
        <v>1705</v>
      </c>
      <c r="D1112" t="s">
        <v>1706</v>
      </c>
      <c r="E1112">
        <v>5.8</v>
      </c>
      <c r="F1112">
        <v>6.7</v>
      </c>
      <c r="G1112">
        <v>99</v>
      </c>
      <c r="H1112">
        <v>5.7</v>
      </c>
    </row>
    <row r="1113" spans="1:8" x14ac:dyDescent="0.35">
      <c r="A1113">
        <v>1111</v>
      </c>
      <c r="B1113" t="s">
        <v>1605</v>
      </c>
      <c r="C1113" t="s">
        <v>1707</v>
      </c>
      <c r="D1113" t="s">
        <v>1708</v>
      </c>
      <c r="E1113">
        <v>5</v>
      </c>
      <c r="F1113" t="s">
        <v>303</v>
      </c>
      <c r="G1113">
        <v>8.4</v>
      </c>
      <c r="H1113">
        <v>12.7</v>
      </c>
    </row>
    <row r="1114" spans="1:8" x14ac:dyDescent="0.35">
      <c r="A1114">
        <v>1112</v>
      </c>
      <c r="B1114">
        <v>5.4</v>
      </c>
      <c r="C1114">
        <v>20.8</v>
      </c>
      <c r="D1114" t="s">
        <v>1605</v>
      </c>
      <c r="E1114">
        <v>17.100000000000001</v>
      </c>
      <c r="F1114">
        <v>11.9</v>
      </c>
      <c r="G1114">
        <v>6.5</v>
      </c>
      <c r="H1114">
        <v>20.5</v>
      </c>
    </row>
    <row r="1115" spans="1:8" x14ac:dyDescent="0.35">
      <c r="A1115">
        <v>1113</v>
      </c>
      <c r="B1115" t="s">
        <v>1605</v>
      </c>
      <c r="C1115" t="s">
        <v>1709</v>
      </c>
      <c r="D1115" t="s">
        <v>1710</v>
      </c>
      <c r="E1115">
        <v>14.3</v>
      </c>
      <c r="F1115">
        <v>7.8</v>
      </c>
      <c r="G1115">
        <v>5.4</v>
      </c>
      <c r="H1115">
        <v>12.5</v>
      </c>
    </row>
    <row r="1116" spans="1:8" x14ac:dyDescent="0.35">
      <c r="A1116">
        <v>1114</v>
      </c>
      <c r="B1116" t="s">
        <v>1605</v>
      </c>
      <c r="C1116" t="s">
        <v>1711</v>
      </c>
      <c r="D1116" t="s">
        <v>1712</v>
      </c>
      <c r="E1116">
        <v>44.4</v>
      </c>
      <c r="F1116">
        <v>6.2</v>
      </c>
      <c r="G1116">
        <v>5.3</v>
      </c>
      <c r="H1116">
        <v>6.3</v>
      </c>
    </row>
    <row r="1117" spans="1:8" x14ac:dyDescent="0.35">
      <c r="A1117">
        <v>1115</v>
      </c>
      <c r="B1117" t="s">
        <v>1605</v>
      </c>
      <c r="C1117" t="s">
        <v>1713</v>
      </c>
      <c r="D1117" t="s">
        <v>74</v>
      </c>
      <c r="E1117">
        <v>12.9</v>
      </c>
      <c r="F1117">
        <v>16.100000000000001</v>
      </c>
      <c r="G1117">
        <v>40.5</v>
      </c>
      <c r="H1117">
        <v>9.6999999999999993</v>
      </c>
    </row>
    <row r="1118" spans="1:8" x14ac:dyDescent="0.35">
      <c r="A1118">
        <v>1116</v>
      </c>
      <c r="B1118" t="s">
        <v>1605</v>
      </c>
      <c r="C1118" t="s">
        <v>1714</v>
      </c>
      <c r="D1118" t="s">
        <v>222</v>
      </c>
      <c r="E1118">
        <v>5</v>
      </c>
      <c r="F1118" t="s">
        <v>303</v>
      </c>
      <c r="G1118">
        <v>3.6</v>
      </c>
      <c r="H1118">
        <v>22.2</v>
      </c>
    </row>
    <row r="1119" spans="1:8" x14ac:dyDescent="0.35">
      <c r="A1119">
        <v>1117</v>
      </c>
      <c r="B1119">
        <v>11.3</v>
      </c>
      <c r="C1119">
        <v>12.4</v>
      </c>
      <c r="D1119" t="s">
        <v>1605</v>
      </c>
      <c r="E1119">
        <v>1</v>
      </c>
      <c r="F1119">
        <v>7.1</v>
      </c>
      <c r="G1119">
        <v>97.9</v>
      </c>
      <c r="H1119">
        <v>19.600000000000001</v>
      </c>
    </row>
    <row r="1120" spans="1:8" x14ac:dyDescent="0.35">
      <c r="A1120">
        <v>1118</v>
      </c>
      <c r="B1120" t="s">
        <v>1605</v>
      </c>
      <c r="C1120" t="s">
        <v>1715</v>
      </c>
      <c r="D1120" t="s">
        <v>1716</v>
      </c>
      <c r="E1120">
        <v>16.3</v>
      </c>
      <c r="F1120">
        <v>18.3</v>
      </c>
      <c r="G1120">
        <v>2.2999999999999998</v>
      </c>
      <c r="H1120">
        <v>12.1</v>
      </c>
    </row>
    <row r="1121" spans="1:8" x14ac:dyDescent="0.35">
      <c r="A1121">
        <v>1119</v>
      </c>
      <c r="B1121" t="s">
        <v>1605</v>
      </c>
      <c r="C1121" t="s">
        <v>1717</v>
      </c>
      <c r="D1121" t="s">
        <v>269</v>
      </c>
      <c r="E1121">
        <v>3.8</v>
      </c>
      <c r="F1121">
        <v>31.1</v>
      </c>
      <c r="G1121">
        <v>4.2</v>
      </c>
      <c r="H1121">
        <v>15.5</v>
      </c>
    </row>
    <row r="1122" spans="1:8" x14ac:dyDescent="0.35">
      <c r="A1122">
        <v>1120</v>
      </c>
      <c r="B1122" t="s">
        <v>1605</v>
      </c>
      <c r="C1122" t="s">
        <v>1718</v>
      </c>
      <c r="D1122" t="s">
        <v>1719</v>
      </c>
      <c r="E1122">
        <v>1</v>
      </c>
      <c r="F1122">
        <v>29.1</v>
      </c>
      <c r="G1122">
        <v>7.8</v>
      </c>
      <c r="H1122">
        <v>44.3</v>
      </c>
    </row>
    <row r="1123" spans="1:8" x14ac:dyDescent="0.35">
      <c r="A1123">
        <v>1121</v>
      </c>
      <c r="B1123" t="s">
        <v>1605</v>
      </c>
      <c r="C1123" t="s">
        <v>1720</v>
      </c>
      <c r="D1123" t="s">
        <v>888</v>
      </c>
      <c r="E1123">
        <v>1</v>
      </c>
      <c r="F1123">
        <v>8.6999999999999993</v>
      </c>
      <c r="G1123">
        <v>76.7</v>
      </c>
      <c r="H1123">
        <v>10.7</v>
      </c>
    </row>
    <row r="1124" spans="1:8" x14ac:dyDescent="0.35">
      <c r="A1124">
        <v>1122</v>
      </c>
      <c r="B1124" t="s">
        <v>1605</v>
      </c>
      <c r="C1124" t="s">
        <v>1721</v>
      </c>
      <c r="D1124" t="s">
        <v>1722</v>
      </c>
      <c r="E1124">
        <v>13.6</v>
      </c>
      <c r="F1124">
        <v>10.3</v>
      </c>
      <c r="G1124">
        <v>69.099999999999994</v>
      </c>
      <c r="H1124">
        <v>4.9000000000000004</v>
      </c>
    </row>
    <row r="1125" spans="1:8" x14ac:dyDescent="0.35">
      <c r="A1125">
        <v>1123</v>
      </c>
      <c r="B1125" t="s">
        <v>1605</v>
      </c>
      <c r="C1125" t="s">
        <v>1723</v>
      </c>
      <c r="D1125" t="s">
        <v>1724</v>
      </c>
      <c r="E1125">
        <v>14.6</v>
      </c>
      <c r="F1125">
        <v>10.6</v>
      </c>
      <c r="G1125">
        <v>20.399999999999999</v>
      </c>
      <c r="H1125">
        <v>4.3</v>
      </c>
    </row>
    <row r="1126" spans="1:8" x14ac:dyDescent="0.35">
      <c r="A1126">
        <v>1124</v>
      </c>
      <c r="B1126" t="s">
        <v>1605</v>
      </c>
      <c r="C1126" t="s">
        <v>1725</v>
      </c>
      <c r="D1126" t="s">
        <v>1726</v>
      </c>
      <c r="E1126">
        <v>14.1</v>
      </c>
      <c r="F1126">
        <v>8</v>
      </c>
      <c r="G1126">
        <v>62.5</v>
      </c>
      <c r="H1126">
        <v>1.7</v>
      </c>
    </row>
    <row r="1127" spans="1:8" x14ac:dyDescent="0.35">
      <c r="A1127">
        <v>1125</v>
      </c>
      <c r="B1127" t="s">
        <v>1605</v>
      </c>
      <c r="C1127" t="s">
        <v>1727</v>
      </c>
      <c r="D1127" t="s">
        <v>1728</v>
      </c>
      <c r="E1127">
        <v>1.6</v>
      </c>
      <c r="F1127">
        <v>29.2</v>
      </c>
      <c r="G1127">
        <v>17.3</v>
      </c>
      <c r="H1127">
        <v>15.6</v>
      </c>
    </row>
    <row r="1128" spans="1:8" x14ac:dyDescent="0.35">
      <c r="A1128">
        <v>1126</v>
      </c>
      <c r="B1128" t="s">
        <v>1605</v>
      </c>
      <c r="C1128" t="s">
        <v>1729</v>
      </c>
      <c r="D1128" t="s">
        <v>420</v>
      </c>
      <c r="E1128">
        <v>3.4</v>
      </c>
      <c r="F1128">
        <v>26.6</v>
      </c>
      <c r="G1128">
        <v>23.3</v>
      </c>
      <c r="H1128">
        <v>21.1</v>
      </c>
    </row>
    <row r="1129" spans="1:8" x14ac:dyDescent="0.35">
      <c r="A1129">
        <v>1127</v>
      </c>
      <c r="B1129" t="s">
        <v>1605</v>
      </c>
      <c r="C1129" t="s">
        <v>1730</v>
      </c>
      <c r="D1129" t="s">
        <v>1731</v>
      </c>
      <c r="E1129">
        <v>5</v>
      </c>
      <c r="F1129" t="s">
        <v>303</v>
      </c>
      <c r="G1129">
        <v>3.4</v>
      </c>
      <c r="H1129">
        <v>12.2</v>
      </c>
    </row>
    <row r="1130" spans="1:8" x14ac:dyDescent="0.35">
      <c r="A1130">
        <v>1128</v>
      </c>
      <c r="B1130">
        <v>59.5</v>
      </c>
      <c r="C1130">
        <v>13.1</v>
      </c>
      <c r="D1130" t="s">
        <v>1605</v>
      </c>
      <c r="E1130">
        <v>10.9</v>
      </c>
      <c r="F1130">
        <v>8.5</v>
      </c>
      <c r="G1130">
        <v>41.2</v>
      </c>
      <c r="H1130">
        <v>10.3</v>
      </c>
    </row>
    <row r="1131" spans="1:8" x14ac:dyDescent="0.35">
      <c r="A1131">
        <v>1129</v>
      </c>
      <c r="B1131" t="s">
        <v>1605</v>
      </c>
      <c r="C1131" t="s">
        <v>1732</v>
      </c>
      <c r="D1131" t="s">
        <v>1733</v>
      </c>
      <c r="E1131">
        <v>14.6</v>
      </c>
      <c r="F1131">
        <v>21.2</v>
      </c>
      <c r="G1131">
        <v>10</v>
      </c>
      <c r="H1131">
        <v>8.9</v>
      </c>
    </row>
    <row r="1132" spans="1:8" x14ac:dyDescent="0.35">
      <c r="A1132">
        <v>1130</v>
      </c>
      <c r="B1132" t="s">
        <v>1605</v>
      </c>
      <c r="C1132" t="s">
        <v>1734</v>
      </c>
      <c r="D1132" t="s">
        <v>1735</v>
      </c>
      <c r="E1132">
        <v>3.1</v>
      </c>
      <c r="F1132">
        <v>13.6</v>
      </c>
      <c r="G1132">
        <v>25</v>
      </c>
      <c r="H1132">
        <v>11.4</v>
      </c>
    </row>
    <row r="1133" spans="1:8" x14ac:dyDescent="0.35">
      <c r="A1133">
        <v>1131</v>
      </c>
      <c r="B1133" t="s">
        <v>1605</v>
      </c>
      <c r="C1133" t="s">
        <v>1736</v>
      </c>
      <c r="D1133" t="s">
        <v>888</v>
      </c>
      <c r="E1133">
        <v>3.1</v>
      </c>
      <c r="F1133">
        <v>11.4</v>
      </c>
      <c r="G1133">
        <v>65.599999999999994</v>
      </c>
      <c r="H1133">
        <v>22.4</v>
      </c>
    </row>
    <row r="1134" spans="1:8" x14ac:dyDescent="0.35">
      <c r="A1134">
        <v>1132</v>
      </c>
      <c r="B1134" t="s">
        <v>1605</v>
      </c>
      <c r="C1134" t="s">
        <v>1737</v>
      </c>
      <c r="D1134" t="s">
        <v>1430</v>
      </c>
      <c r="E1134">
        <v>3.9</v>
      </c>
      <c r="F1134">
        <v>17.100000000000001</v>
      </c>
      <c r="G1134">
        <v>6.5</v>
      </c>
      <c r="H1134">
        <v>33</v>
      </c>
    </row>
    <row r="1135" spans="1:8" x14ac:dyDescent="0.35">
      <c r="A1135">
        <v>1133</v>
      </c>
      <c r="B1135" t="s">
        <v>1605</v>
      </c>
      <c r="C1135" t="s">
        <v>1738</v>
      </c>
      <c r="D1135" t="s">
        <v>420</v>
      </c>
      <c r="E1135">
        <v>1.3</v>
      </c>
      <c r="F1135">
        <v>14.5</v>
      </c>
      <c r="G1135">
        <v>39.9</v>
      </c>
      <c r="H1135">
        <v>24</v>
      </c>
    </row>
    <row r="1136" spans="1:8" x14ac:dyDescent="0.35">
      <c r="A1136">
        <v>1134</v>
      </c>
      <c r="B1136" t="s">
        <v>1605</v>
      </c>
      <c r="C1136" t="s">
        <v>1739</v>
      </c>
      <c r="D1136" t="s">
        <v>1740</v>
      </c>
      <c r="E1136">
        <v>1.3</v>
      </c>
      <c r="F1136">
        <v>24.1</v>
      </c>
      <c r="G1136">
        <v>27.6</v>
      </c>
      <c r="H1136">
        <v>13.1</v>
      </c>
    </row>
    <row r="1137" spans="1:8" x14ac:dyDescent="0.35">
      <c r="A1137">
        <v>1135</v>
      </c>
      <c r="B1137" t="s">
        <v>1605</v>
      </c>
      <c r="C1137" t="s">
        <v>1741</v>
      </c>
      <c r="D1137" t="s">
        <v>1079</v>
      </c>
      <c r="E1137">
        <v>1.4</v>
      </c>
      <c r="F1137">
        <v>15.3</v>
      </c>
      <c r="G1137">
        <v>82.7</v>
      </c>
      <c r="H1137">
        <v>21.2</v>
      </c>
    </row>
    <row r="1138" spans="1:8" x14ac:dyDescent="0.35">
      <c r="A1138">
        <v>1136</v>
      </c>
      <c r="B1138" t="s">
        <v>1605</v>
      </c>
      <c r="C1138" t="s">
        <v>1742</v>
      </c>
      <c r="D1138" t="s">
        <v>1743</v>
      </c>
      <c r="E1138">
        <v>2.9</v>
      </c>
      <c r="F1138">
        <v>14.7</v>
      </c>
      <c r="G1138">
        <v>64.2</v>
      </c>
      <c r="H1138">
        <v>9.4</v>
      </c>
    </row>
    <row r="1139" spans="1:8" x14ac:dyDescent="0.35">
      <c r="A1139">
        <v>1137</v>
      </c>
      <c r="B1139" t="s">
        <v>1605</v>
      </c>
      <c r="C1139" t="s">
        <v>1744</v>
      </c>
      <c r="D1139" t="s">
        <v>1745</v>
      </c>
      <c r="E1139">
        <v>2.8</v>
      </c>
      <c r="F1139">
        <v>9.1</v>
      </c>
      <c r="G1139">
        <v>88.1</v>
      </c>
      <c r="H1139">
        <v>12.6</v>
      </c>
    </row>
    <row r="1140" spans="1:8" x14ac:dyDescent="0.35">
      <c r="A1140">
        <v>1138</v>
      </c>
      <c r="B1140" t="s">
        <v>1605</v>
      </c>
      <c r="C1140" t="s">
        <v>1746</v>
      </c>
      <c r="D1140" t="s">
        <v>1747</v>
      </c>
      <c r="E1140">
        <v>7.5</v>
      </c>
      <c r="F1140">
        <v>13.7</v>
      </c>
      <c r="G1140">
        <v>10.199999999999999</v>
      </c>
      <c r="H1140">
        <v>18.8</v>
      </c>
    </row>
    <row r="1141" spans="1:8" x14ac:dyDescent="0.35">
      <c r="A1141">
        <v>1139</v>
      </c>
      <c r="B1141" t="s">
        <v>1605</v>
      </c>
      <c r="C1141" t="s">
        <v>1748</v>
      </c>
      <c r="D1141" t="s">
        <v>1355</v>
      </c>
      <c r="E1141">
        <v>2.8</v>
      </c>
      <c r="F1141">
        <v>16.2</v>
      </c>
      <c r="G1141">
        <v>26</v>
      </c>
      <c r="H1141">
        <v>20.100000000000001</v>
      </c>
    </row>
    <row r="1142" spans="1:8" x14ac:dyDescent="0.35">
      <c r="A1142">
        <v>1140</v>
      </c>
      <c r="B1142" t="s">
        <v>1605</v>
      </c>
      <c r="C1142" t="s">
        <v>1749</v>
      </c>
      <c r="D1142" t="s">
        <v>1418</v>
      </c>
      <c r="E1142">
        <v>8.6999999999999993</v>
      </c>
      <c r="F1142">
        <v>13.3</v>
      </c>
      <c r="G1142">
        <v>4.5</v>
      </c>
      <c r="H1142">
        <v>26.6</v>
      </c>
    </row>
    <row r="1143" spans="1:8" x14ac:dyDescent="0.35">
      <c r="A1143">
        <v>1141</v>
      </c>
      <c r="B1143" t="s">
        <v>1605</v>
      </c>
      <c r="C1143" t="s">
        <v>1750</v>
      </c>
      <c r="D1143" t="s">
        <v>888</v>
      </c>
      <c r="E1143">
        <v>2.8</v>
      </c>
      <c r="F1143">
        <v>15.2</v>
      </c>
      <c r="G1143">
        <v>17.5</v>
      </c>
      <c r="H1143">
        <v>31.8</v>
      </c>
    </row>
    <row r="1144" spans="1:8" x14ac:dyDescent="0.35">
      <c r="A1144">
        <v>1142</v>
      </c>
      <c r="B1144" t="s">
        <v>1605</v>
      </c>
      <c r="C1144" t="s">
        <v>1751</v>
      </c>
      <c r="D1144" t="s">
        <v>246</v>
      </c>
      <c r="E1144">
        <v>26.1</v>
      </c>
      <c r="F1144">
        <v>14.5</v>
      </c>
      <c r="G1144">
        <v>15.7</v>
      </c>
      <c r="H1144">
        <v>8.1999999999999993</v>
      </c>
    </row>
    <row r="1145" spans="1:8" x14ac:dyDescent="0.35">
      <c r="A1145">
        <v>1143</v>
      </c>
      <c r="B1145" t="s">
        <v>1605</v>
      </c>
      <c r="C1145" t="s">
        <v>1752</v>
      </c>
      <c r="D1145" t="s">
        <v>1753</v>
      </c>
      <c r="E1145">
        <v>9.1</v>
      </c>
      <c r="F1145">
        <v>18.399999999999999</v>
      </c>
      <c r="G1145">
        <v>24.9</v>
      </c>
      <c r="H1145">
        <v>6.3</v>
      </c>
    </row>
    <row r="1146" spans="1:8" x14ac:dyDescent="0.35">
      <c r="A1146">
        <v>1144</v>
      </c>
      <c r="B1146" t="s">
        <v>1605</v>
      </c>
      <c r="C1146" t="s">
        <v>1754</v>
      </c>
      <c r="D1146" t="s">
        <v>1755</v>
      </c>
      <c r="E1146">
        <v>23.2</v>
      </c>
      <c r="F1146">
        <v>5.5</v>
      </c>
      <c r="G1146">
        <v>26.3</v>
      </c>
      <c r="H1146">
        <v>4.8</v>
      </c>
    </row>
    <row r="1147" spans="1:8" x14ac:dyDescent="0.35">
      <c r="A1147">
        <v>1145</v>
      </c>
      <c r="B1147" t="s">
        <v>1605</v>
      </c>
      <c r="C1147" t="s">
        <v>1756</v>
      </c>
      <c r="D1147" t="s">
        <v>1757</v>
      </c>
      <c r="E1147">
        <v>36.700000000000003</v>
      </c>
      <c r="F1147">
        <v>13.2</v>
      </c>
      <c r="G1147">
        <v>4.7</v>
      </c>
      <c r="H1147">
        <v>5.7</v>
      </c>
    </row>
    <row r="1148" spans="1:8" x14ac:dyDescent="0.35">
      <c r="A1148">
        <v>1146</v>
      </c>
      <c r="B1148" t="s">
        <v>1605</v>
      </c>
      <c r="C1148" t="s">
        <v>1758</v>
      </c>
      <c r="D1148" t="s">
        <v>1759</v>
      </c>
      <c r="E1148">
        <v>26.8</v>
      </c>
      <c r="F1148">
        <v>11.3</v>
      </c>
      <c r="G1148">
        <v>11.8</v>
      </c>
      <c r="H1148">
        <v>6</v>
      </c>
    </row>
    <row r="1149" spans="1:8" x14ac:dyDescent="0.35">
      <c r="A1149">
        <v>1147</v>
      </c>
      <c r="B1149" t="s">
        <v>1605</v>
      </c>
      <c r="C1149" t="s">
        <v>1760</v>
      </c>
      <c r="D1149" t="s">
        <v>1761</v>
      </c>
      <c r="E1149">
        <v>43.2</v>
      </c>
      <c r="F1149">
        <v>5.4</v>
      </c>
      <c r="G1149">
        <v>4.7</v>
      </c>
      <c r="H1149">
        <v>3.3</v>
      </c>
    </row>
    <row r="1150" spans="1:8" x14ac:dyDescent="0.35">
      <c r="A1150">
        <v>1148</v>
      </c>
      <c r="B1150" t="s">
        <v>1605</v>
      </c>
      <c r="C1150" t="s">
        <v>1762</v>
      </c>
      <c r="D1150" t="s">
        <v>1763</v>
      </c>
      <c r="E1150">
        <v>36.9</v>
      </c>
      <c r="F1150">
        <v>5.9</v>
      </c>
      <c r="G1150">
        <v>4.5999999999999996</v>
      </c>
      <c r="H1150">
        <v>3.6</v>
      </c>
    </row>
    <row r="1151" spans="1:8" x14ac:dyDescent="0.35">
      <c r="A1151">
        <v>1149</v>
      </c>
      <c r="B1151" t="s">
        <v>1605</v>
      </c>
      <c r="C1151" t="s">
        <v>1764</v>
      </c>
      <c r="D1151" t="s">
        <v>1765</v>
      </c>
      <c r="E1151">
        <v>1.8</v>
      </c>
      <c r="F1151">
        <v>14.6</v>
      </c>
      <c r="G1151">
        <v>42.4</v>
      </c>
      <c r="H1151">
        <v>15.5</v>
      </c>
    </row>
    <row r="1152" spans="1:8" x14ac:dyDescent="0.35">
      <c r="A1152">
        <v>1150</v>
      </c>
      <c r="B1152" t="s">
        <v>1605</v>
      </c>
      <c r="C1152" t="s">
        <v>1766</v>
      </c>
      <c r="D1152" t="s">
        <v>1767</v>
      </c>
      <c r="E1152">
        <v>19.399999999999999</v>
      </c>
      <c r="F1152">
        <v>8</v>
      </c>
      <c r="G1152">
        <v>25.3</v>
      </c>
      <c r="H1152">
        <v>4.4000000000000004</v>
      </c>
    </row>
    <row r="1153" spans="1:8" x14ac:dyDescent="0.35">
      <c r="A1153">
        <v>1151</v>
      </c>
      <c r="B1153" t="s">
        <v>1605</v>
      </c>
      <c r="C1153" t="s">
        <v>1768</v>
      </c>
      <c r="D1153" t="s">
        <v>1769</v>
      </c>
      <c r="E1153">
        <v>22.4</v>
      </c>
      <c r="F1153">
        <v>8.3000000000000007</v>
      </c>
      <c r="G1153">
        <v>19.7</v>
      </c>
      <c r="H1153">
        <v>2.7</v>
      </c>
    </row>
    <row r="1154" spans="1:8" x14ac:dyDescent="0.35">
      <c r="A1154">
        <v>1152</v>
      </c>
      <c r="B1154" t="s">
        <v>1605</v>
      </c>
      <c r="C1154" t="s">
        <v>1770</v>
      </c>
      <c r="D1154" t="s">
        <v>423</v>
      </c>
      <c r="E1154">
        <v>7.7</v>
      </c>
      <c r="F1154">
        <v>14.3</v>
      </c>
      <c r="G1154">
        <v>4.3</v>
      </c>
      <c r="H1154">
        <v>5.9</v>
      </c>
    </row>
    <row r="1155" spans="1:8" x14ac:dyDescent="0.35">
      <c r="A1155">
        <v>1153</v>
      </c>
      <c r="B1155" t="s">
        <v>1605</v>
      </c>
      <c r="C1155" t="s">
        <v>1771</v>
      </c>
      <c r="D1155" t="s">
        <v>1772</v>
      </c>
      <c r="E1155">
        <v>10.1</v>
      </c>
      <c r="F1155">
        <v>6.8</v>
      </c>
      <c r="G1155">
        <v>2.5</v>
      </c>
      <c r="H1155">
        <v>6.9</v>
      </c>
    </row>
    <row r="1156" spans="1:8" x14ac:dyDescent="0.35">
      <c r="A1156">
        <v>1154</v>
      </c>
      <c r="B1156" t="s">
        <v>1605</v>
      </c>
      <c r="C1156" t="s">
        <v>1773</v>
      </c>
      <c r="D1156" t="s">
        <v>1774</v>
      </c>
      <c r="E1156">
        <v>14.3</v>
      </c>
      <c r="F1156">
        <v>10.9</v>
      </c>
      <c r="G1156">
        <v>32</v>
      </c>
      <c r="H1156">
        <v>8.8000000000000007</v>
      </c>
    </row>
    <row r="1157" spans="1:8" x14ac:dyDescent="0.35">
      <c r="A1157">
        <v>1155</v>
      </c>
      <c r="B1157" t="s">
        <v>1605</v>
      </c>
      <c r="C1157" t="s">
        <v>1775</v>
      </c>
      <c r="D1157" t="s">
        <v>1776</v>
      </c>
      <c r="E1157">
        <v>5.5</v>
      </c>
      <c r="F1157">
        <v>22.6</v>
      </c>
      <c r="G1157">
        <v>19.600000000000001</v>
      </c>
      <c r="H1157">
        <v>13.4</v>
      </c>
    </row>
    <row r="1158" spans="1:8" x14ac:dyDescent="0.35">
      <c r="A1158">
        <v>1156</v>
      </c>
      <c r="B1158" t="s">
        <v>1605</v>
      </c>
      <c r="C1158" t="s">
        <v>1777</v>
      </c>
      <c r="D1158" t="s">
        <v>1778</v>
      </c>
      <c r="E1158">
        <v>7.4</v>
      </c>
      <c r="F1158">
        <v>18.899999999999999</v>
      </c>
      <c r="G1158">
        <v>13.6</v>
      </c>
      <c r="H1158">
        <v>12.4</v>
      </c>
    </row>
    <row r="1159" spans="1:8" x14ac:dyDescent="0.35">
      <c r="A1159">
        <v>1157</v>
      </c>
      <c r="B1159" t="s">
        <v>1605</v>
      </c>
      <c r="C1159" t="s">
        <v>1779</v>
      </c>
      <c r="D1159" t="s">
        <v>1780</v>
      </c>
      <c r="E1159">
        <v>13.4</v>
      </c>
      <c r="F1159">
        <v>13.7</v>
      </c>
      <c r="G1159">
        <v>13.8</v>
      </c>
      <c r="H1159">
        <v>13.6</v>
      </c>
    </row>
    <row r="1160" spans="1:8" x14ac:dyDescent="0.35">
      <c r="A1160">
        <v>1158</v>
      </c>
      <c r="B1160" t="s">
        <v>1605</v>
      </c>
      <c r="C1160" t="s">
        <v>1781</v>
      </c>
      <c r="D1160" t="s">
        <v>1782</v>
      </c>
      <c r="E1160">
        <v>31.8</v>
      </c>
      <c r="F1160">
        <v>6.9</v>
      </c>
      <c r="G1160">
        <v>13.1</v>
      </c>
      <c r="H1160">
        <v>3.2</v>
      </c>
    </row>
    <row r="1161" spans="1:8" x14ac:dyDescent="0.35">
      <c r="A1161">
        <v>1159</v>
      </c>
      <c r="B1161" t="s">
        <v>1605</v>
      </c>
      <c r="C1161" t="s">
        <v>1783</v>
      </c>
      <c r="D1161" t="s">
        <v>1784</v>
      </c>
      <c r="E1161">
        <v>25.5</v>
      </c>
      <c r="F1161">
        <v>7.9</v>
      </c>
      <c r="G1161">
        <v>11.4</v>
      </c>
      <c r="H1161">
        <v>3.1</v>
      </c>
    </row>
    <row r="1162" spans="1:8" x14ac:dyDescent="0.35">
      <c r="A1162">
        <v>1160</v>
      </c>
      <c r="B1162" t="s">
        <v>1605</v>
      </c>
      <c r="C1162" t="s">
        <v>1785</v>
      </c>
      <c r="D1162" t="s">
        <v>404</v>
      </c>
      <c r="E1162">
        <v>3.8</v>
      </c>
      <c r="F1162">
        <v>8.1</v>
      </c>
      <c r="G1162">
        <v>50.1</v>
      </c>
      <c r="H1162">
        <v>19.600000000000001</v>
      </c>
    </row>
    <row r="1163" spans="1:8" x14ac:dyDescent="0.35">
      <c r="A1163">
        <v>1161</v>
      </c>
      <c r="B1163" t="s">
        <v>1605</v>
      </c>
      <c r="C1163" t="s">
        <v>1786</v>
      </c>
      <c r="D1163" t="s">
        <v>1787</v>
      </c>
      <c r="E1163">
        <v>39.1</v>
      </c>
      <c r="F1163">
        <v>6.1</v>
      </c>
      <c r="G1163">
        <v>8.9</v>
      </c>
      <c r="H1163">
        <v>4.3</v>
      </c>
    </row>
    <row r="1164" spans="1:8" x14ac:dyDescent="0.35">
      <c r="A1164">
        <v>1162</v>
      </c>
      <c r="B1164" t="s">
        <v>1605</v>
      </c>
      <c r="C1164" t="s">
        <v>1788</v>
      </c>
      <c r="D1164" t="s">
        <v>1789</v>
      </c>
      <c r="E1164">
        <v>5.7</v>
      </c>
      <c r="F1164">
        <v>13.3</v>
      </c>
      <c r="G1164">
        <v>2.5</v>
      </c>
      <c r="H1164">
        <v>19.600000000000001</v>
      </c>
    </row>
    <row r="1165" spans="1:8" x14ac:dyDescent="0.35">
      <c r="A1165">
        <v>1163</v>
      </c>
      <c r="B1165" t="s">
        <v>1605</v>
      </c>
      <c r="C1165" t="s">
        <v>1790</v>
      </c>
      <c r="D1165" t="s">
        <v>1451</v>
      </c>
      <c r="E1165">
        <v>10.7</v>
      </c>
      <c r="F1165">
        <v>7.1</v>
      </c>
      <c r="G1165">
        <v>42.1</v>
      </c>
      <c r="H1165">
        <v>12.3</v>
      </c>
    </row>
    <row r="1166" spans="1:8" x14ac:dyDescent="0.35">
      <c r="A1166">
        <v>1164</v>
      </c>
      <c r="B1166" t="s">
        <v>1605</v>
      </c>
      <c r="C1166" t="s">
        <v>1791</v>
      </c>
      <c r="D1166" t="s">
        <v>1792</v>
      </c>
      <c r="E1166">
        <v>9.1</v>
      </c>
      <c r="F1166">
        <v>8.1999999999999993</v>
      </c>
      <c r="G1166">
        <v>8.8000000000000007</v>
      </c>
      <c r="H1166">
        <v>20.5</v>
      </c>
    </row>
    <row r="1167" spans="1:8" x14ac:dyDescent="0.35">
      <c r="A1167">
        <v>1165</v>
      </c>
      <c r="B1167" t="s">
        <v>1605</v>
      </c>
      <c r="C1167" t="s">
        <v>1793</v>
      </c>
      <c r="D1167" t="s">
        <v>10</v>
      </c>
      <c r="E1167">
        <v>10.3</v>
      </c>
      <c r="F1167">
        <v>4.0999999999999996</v>
      </c>
      <c r="G1167">
        <v>3.5</v>
      </c>
      <c r="H1167">
        <v>7.5</v>
      </c>
    </row>
    <row r="1168" spans="1:8" x14ac:dyDescent="0.35">
      <c r="A1168">
        <v>1166</v>
      </c>
      <c r="B1168" t="s">
        <v>1605</v>
      </c>
      <c r="C1168" t="s">
        <v>1794</v>
      </c>
      <c r="D1168" t="s">
        <v>1795</v>
      </c>
      <c r="E1168">
        <v>5.7</v>
      </c>
      <c r="F1168">
        <v>6.8</v>
      </c>
      <c r="G1168">
        <v>38.4</v>
      </c>
      <c r="H1168">
        <v>4.7</v>
      </c>
    </row>
    <row r="1169" spans="1:8" x14ac:dyDescent="0.35">
      <c r="A1169">
        <v>1167</v>
      </c>
      <c r="B1169" t="s">
        <v>1605</v>
      </c>
      <c r="C1169" t="s">
        <v>1796</v>
      </c>
      <c r="D1169" t="s">
        <v>1797</v>
      </c>
      <c r="E1169">
        <v>7.1</v>
      </c>
      <c r="F1169">
        <v>13</v>
      </c>
      <c r="G1169">
        <v>4.8</v>
      </c>
      <c r="H1169">
        <v>24.4</v>
      </c>
    </row>
    <row r="1170" spans="1:8" x14ac:dyDescent="0.35">
      <c r="A1170">
        <v>1168</v>
      </c>
      <c r="B1170" t="s">
        <v>1605</v>
      </c>
      <c r="C1170" t="s">
        <v>1798</v>
      </c>
      <c r="D1170" t="s">
        <v>1799</v>
      </c>
      <c r="E1170">
        <v>3.9</v>
      </c>
      <c r="F1170">
        <v>10.9</v>
      </c>
      <c r="G1170">
        <v>2.5</v>
      </c>
      <c r="H1170">
        <v>25.1</v>
      </c>
    </row>
    <row r="1171" spans="1:8" x14ac:dyDescent="0.35">
      <c r="A1171">
        <v>1169</v>
      </c>
      <c r="B1171" t="s">
        <v>1605</v>
      </c>
      <c r="C1171" t="s">
        <v>1800</v>
      </c>
      <c r="D1171" t="s">
        <v>1801</v>
      </c>
      <c r="E1171">
        <v>4</v>
      </c>
      <c r="F1171" t="s">
        <v>303</v>
      </c>
      <c r="G1171">
        <v>7.5</v>
      </c>
      <c r="H1171">
        <v>6.3</v>
      </c>
    </row>
    <row r="1172" spans="1:8" x14ac:dyDescent="0.35">
      <c r="A1172">
        <v>1170</v>
      </c>
      <c r="B1172">
        <v>9.3000000000000007</v>
      </c>
      <c r="C1172">
        <v>9.5</v>
      </c>
      <c r="D1172" t="s">
        <v>1605</v>
      </c>
      <c r="E1172">
        <v>6.9</v>
      </c>
      <c r="F1172">
        <v>14</v>
      </c>
      <c r="G1172">
        <v>45.9</v>
      </c>
      <c r="H1172">
        <v>5.8</v>
      </c>
    </row>
    <row r="1173" spans="1:8" x14ac:dyDescent="0.35">
      <c r="A1173">
        <v>1171</v>
      </c>
      <c r="B1173" t="s">
        <v>1605</v>
      </c>
      <c r="C1173" t="s">
        <v>1802</v>
      </c>
      <c r="D1173" t="s">
        <v>1803</v>
      </c>
      <c r="E1173">
        <v>10.7</v>
      </c>
      <c r="F1173">
        <v>3.8</v>
      </c>
      <c r="G1173">
        <v>47.9</v>
      </c>
      <c r="H1173">
        <v>4.5999999999999996</v>
      </c>
    </row>
    <row r="1174" spans="1:8" x14ac:dyDescent="0.35">
      <c r="A1174">
        <v>1172</v>
      </c>
      <c r="B1174" t="s">
        <v>1605</v>
      </c>
      <c r="C1174" t="s">
        <v>1804</v>
      </c>
      <c r="D1174" t="s">
        <v>174</v>
      </c>
      <c r="E1174">
        <v>15.7</v>
      </c>
      <c r="F1174">
        <v>14</v>
      </c>
      <c r="G1174">
        <v>14.3</v>
      </c>
      <c r="H1174">
        <v>19</v>
      </c>
    </row>
    <row r="1175" spans="1:8" x14ac:dyDescent="0.35">
      <c r="A1175">
        <v>1173</v>
      </c>
      <c r="B1175" t="s">
        <v>1605</v>
      </c>
      <c r="C1175" t="s">
        <v>1805</v>
      </c>
      <c r="D1175" t="s">
        <v>1806</v>
      </c>
      <c r="E1175">
        <v>11.9</v>
      </c>
      <c r="F1175">
        <v>5.7</v>
      </c>
      <c r="G1175">
        <v>66.5</v>
      </c>
      <c r="H1175">
        <v>2.4</v>
      </c>
    </row>
    <row r="1176" spans="1:8" x14ac:dyDescent="0.35">
      <c r="A1176">
        <v>1174</v>
      </c>
      <c r="B1176" t="s">
        <v>1605</v>
      </c>
      <c r="C1176" t="s">
        <v>1807</v>
      </c>
      <c r="D1176" t="s">
        <v>1808</v>
      </c>
      <c r="E1176">
        <v>16.2</v>
      </c>
      <c r="F1176">
        <v>15</v>
      </c>
      <c r="G1176">
        <v>18.899999999999999</v>
      </c>
      <c r="H1176">
        <v>7.2</v>
      </c>
    </row>
    <row r="1177" spans="1:8" x14ac:dyDescent="0.35">
      <c r="A1177">
        <v>1175</v>
      </c>
      <c r="B1177" t="s">
        <v>1605</v>
      </c>
      <c r="C1177" t="s">
        <v>1809</v>
      </c>
      <c r="D1177" t="s">
        <v>1810</v>
      </c>
      <c r="E1177">
        <v>3.2</v>
      </c>
      <c r="F1177">
        <v>14.4</v>
      </c>
      <c r="G1177">
        <v>16.899999999999999</v>
      </c>
      <c r="H1177">
        <v>18.899999999999999</v>
      </c>
    </row>
    <row r="1178" spans="1:8" x14ac:dyDescent="0.35">
      <c r="A1178">
        <v>1176</v>
      </c>
      <c r="B1178" t="s">
        <v>1605</v>
      </c>
      <c r="C1178" t="s">
        <v>1811</v>
      </c>
      <c r="D1178" t="s">
        <v>691</v>
      </c>
      <c r="E1178">
        <v>45.2</v>
      </c>
      <c r="F1178">
        <v>5.9</v>
      </c>
      <c r="G1178">
        <v>3</v>
      </c>
      <c r="H1178">
        <v>3.8</v>
      </c>
    </row>
    <row r="1179" spans="1:8" x14ac:dyDescent="0.35">
      <c r="A1179">
        <v>1177</v>
      </c>
      <c r="B1179" t="s">
        <v>1605</v>
      </c>
      <c r="C1179" t="s">
        <v>1812</v>
      </c>
      <c r="D1179" t="s">
        <v>1813</v>
      </c>
      <c r="E1179">
        <v>21.8</v>
      </c>
      <c r="F1179">
        <v>5.7</v>
      </c>
      <c r="G1179">
        <v>23.3</v>
      </c>
      <c r="H1179">
        <v>7.9</v>
      </c>
    </row>
    <row r="1180" spans="1:8" x14ac:dyDescent="0.35">
      <c r="A1180">
        <v>1178</v>
      </c>
      <c r="B1180" t="s">
        <v>1605</v>
      </c>
      <c r="C1180" t="s">
        <v>1814</v>
      </c>
      <c r="D1180" t="s">
        <v>1815</v>
      </c>
      <c r="E1180">
        <v>23.9</v>
      </c>
      <c r="F1180">
        <v>10.199999999999999</v>
      </c>
      <c r="G1180">
        <v>3.7</v>
      </c>
      <c r="H1180">
        <v>11.7</v>
      </c>
    </row>
    <row r="1181" spans="1:8" x14ac:dyDescent="0.35">
      <c r="A1181">
        <v>1179</v>
      </c>
      <c r="B1181" t="s">
        <v>1605</v>
      </c>
      <c r="C1181" t="s">
        <v>1816</v>
      </c>
      <c r="D1181" t="s">
        <v>1817</v>
      </c>
      <c r="E1181">
        <v>13.6</v>
      </c>
      <c r="F1181">
        <v>6.3</v>
      </c>
      <c r="G1181">
        <v>35.5</v>
      </c>
      <c r="H1181">
        <v>8.6999999999999993</v>
      </c>
    </row>
    <row r="1182" spans="1:8" x14ac:dyDescent="0.35">
      <c r="A1182">
        <v>1180</v>
      </c>
      <c r="B1182" t="s">
        <v>1605</v>
      </c>
      <c r="C1182" t="s">
        <v>1818</v>
      </c>
      <c r="D1182" t="s">
        <v>1819</v>
      </c>
      <c r="E1182">
        <v>30.3</v>
      </c>
      <c r="F1182">
        <v>16.2</v>
      </c>
      <c r="G1182">
        <v>4.0999999999999996</v>
      </c>
      <c r="H1182">
        <v>7.6</v>
      </c>
    </row>
    <row r="1183" spans="1:8" x14ac:dyDescent="0.35">
      <c r="A1183">
        <v>1181</v>
      </c>
      <c r="B1183" t="s">
        <v>1605</v>
      </c>
      <c r="C1183" t="s">
        <v>1820</v>
      </c>
      <c r="D1183" t="s">
        <v>1821</v>
      </c>
      <c r="E1183">
        <v>36.4</v>
      </c>
      <c r="F1183">
        <v>4.7</v>
      </c>
      <c r="G1183">
        <v>4.4000000000000004</v>
      </c>
      <c r="H1183">
        <v>2.7</v>
      </c>
    </row>
    <row r="1184" spans="1:8" x14ac:dyDescent="0.35">
      <c r="A1184">
        <v>1182</v>
      </c>
      <c r="B1184" t="s">
        <v>1605</v>
      </c>
      <c r="C1184" t="s">
        <v>1822</v>
      </c>
      <c r="D1184" t="s">
        <v>1823</v>
      </c>
      <c r="E1184">
        <v>23.2</v>
      </c>
      <c r="F1184">
        <v>8.1</v>
      </c>
      <c r="G1184">
        <v>7.7</v>
      </c>
      <c r="H1184">
        <v>8.6</v>
      </c>
    </row>
    <row r="1185" spans="1:8" x14ac:dyDescent="0.35">
      <c r="A1185">
        <v>1183</v>
      </c>
      <c r="B1185" t="s">
        <v>1605</v>
      </c>
      <c r="C1185" t="s">
        <v>1824</v>
      </c>
      <c r="D1185" t="s">
        <v>10</v>
      </c>
      <c r="E1185">
        <v>14.6</v>
      </c>
      <c r="F1185">
        <v>5.4</v>
      </c>
      <c r="G1185">
        <v>3.9</v>
      </c>
      <c r="H1185">
        <v>3.4</v>
      </c>
    </row>
    <row r="1186" spans="1:8" x14ac:dyDescent="0.35">
      <c r="A1186">
        <v>1184</v>
      </c>
      <c r="B1186" t="s">
        <v>1605</v>
      </c>
      <c r="C1186" t="s">
        <v>1825</v>
      </c>
      <c r="D1186" t="s">
        <v>1826</v>
      </c>
      <c r="E1186">
        <v>48</v>
      </c>
      <c r="F1186">
        <v>8.9</v>
      </c>
      <c r="G1186">
        <v>6</v>
      </c>
      <c r="H1186">
        <v>2.8</v>
      </c>
    </row>
    <row r="1187" spans="1:8" x14ac:dyDescent="0.35">
      <c r="A1187">
        <v>1185</v>
      </c>
      <c r="B1187" t="s">
        <v>1605</v>
      </c>
      <c r="C1187" t="s">
        <v>1827</v>
      </c>
      <c r="D1187" t="s">
        <v>1828</v>
      </c>
      <c r="E1187">
        <v>8.3000000000000007</v>
      </c>
      <c r="F1187">
        <v>9.5</v>
      </c>
      <c r="G1187">
        <v>9.4</v>
      </c>
      <c r="H1187">
        <v>7.4</v>
      </c>
    </row>
    <row r="1188" spans="1:8" x14ac:dyDescent="0.35">
      <c r="A1188">
        <v>1186</v>
      </c>
      <c r="B1188" t="s">
        <v>1605</v>
      </c>
      <c r="C1188" t="s">
        <v>1829</v>
      </c>
      <c r="D1188" t="s">
        <v>1830</v>
      </c>
      <c r="E1188">
        <v>6.4</v>
      </c>
      <c r="F1188">
        <v>12.1</v>
      </c>
      <c r="G1188">
        <v>46.6</v>
      </c>
      <c r="H1188">
        <v>4.2</v>
      </c>
    </row>
    <row r="1189" spans="1:8" x14ac:dyDescent="0.35">
      <c r="A1189">
        <v>1187</v>
      </c>
      <c r="B1189" t="s">
        <v>1605</v>
      </c>
      <c r="C1189" t="s">
        <v>1831</v>
      </c>
      <c r="D1189" t="s">
        <v>1832</v>
      </c>
      <c r="E1189">
        <v>13.7</v>
      </c>
      <c r="F1189">
        <v>7.8</v>
      </c>
      <c r="G1189">
        <v>43.1</v>
      </c>
      <c r="H1189">
        <v>4</v>
      </c>
    </row>
    <row r="1190" spans="1:8" x14ac:dyDescent="0.35">
      <c r="A1190">
        <v>1188</v>
      </c>
      <c r="B1190" t="s">
        <v>1605</v>
      </c>
      <c r="C1190" t="s">
        <v>1833</v>
      </c>
      <c r="D1190" t="s">
        <v>1834</v>
      </c>
      <c r="E1190">
        <v>7.9</v>
      </c>
      <c r="F1190">
        <v>9.1999999999999993</v>
      </c>
      <c r="G1190">
        <v>24.2</v>
      </c>
      <c r="H1190">
        <v>5.4</v>
      </c>
    </row>
    <row r="1191" spans="1:8" x14ac:dyDescent="0.35">
      <c r="A1191">
        <v>1189</v>
      </c>
      <c r="B1191" t="s">
        <v>1605</v>
      </c>
      <c r="C1191" t="s">
        <v>1835</v>
      </c>
      <c r="D1191" t="s">
        <v>1836</v>
      </c>
      <c r="E1191">
        <v>18.3</v>
      </c>
      <c r="F1191">
        <v>8.6</v>
      </c>
      <c r="G1191">
        <v>3.7</v>
      </c>
      <c r="H1191">
        <v>8.4</v>
      </c>
    </row>
    <row r="1192" spans="1:8" x14ac:dyDescent="0.35">
      <c r="A1192">
        <v>1190</v>
      </c>
      <c r="B1192" t="s">
        <v>1605</v>
      </c>
      <c r="C1192" t="s">
        <v>1837</v>
      </c>
      <c r="D1192" t="s">
        <v>338</v>
      </c>
      <c r="E1192">
        <v>23.5</v>
      </c>
      <c r="F1192">
        <v>12.6</v>
      </c>
      <c r="G1192">
        <v>4.5</v>
      </c>
      <c r="H1192">
        <v>8.8000000000000007</v>
      </c>
    </row>
    <row r="1193" spans="1:8" x14ac:dyDescent="0.35">
      <c r="A1193">
        <v>1191</v>
      </c>
      <c r="B1193" t="s">
        <v>1605</v>
      </c>
      <c r="C1193" t="s">
        <v>1838</v>
      </c>
      <c r="D1193" t="s">
        <v>1839</v>
      </c>
      <c r="E1193">
        <v>17.899999999999999</v>
      </c>
      <c r="F1193">
        <v>4.4000000000000004</v>
      </c>
      <c r="G1193">
        <v>40.799999999999997</v>
      </c>
      <c r="H1193">
        <v>7.4</v>
      </c>
    </row>
    <row r="1194" spans="1:8" x14ac:dyDescent="0.35">
      <c r="A1194">
        <v>1192</v>
      </c>
      <c r="B1194" t="s">
        <v>1605</v>
      </c>
      <c r="C1194" t="s">
        <v>1840</v>
      </c>
      <c r="D1194" t="s">
        <v>1841</v>
      </c>
      <c r="E1194">
        <v>5</v>
      </c>
      <c r="F1194" t="s">
        <v>303</v>
      </c>
      <c r="G1194">
        <v>11.9</v>
      </c>
      <c r="H1194">
        <v>3.9</v>
      </c>
    </row>
    <row r="1195" spans="1:8" x14ac:dyDescent="0.35">
      <c r="A1195">
        <v>1193</v>
      </c>
      <c r="B1195">
        <v>12.5</v>
      </c>
      <c r="C1195">
        <v>4.3</v>
      </c>
      <c r="D1195" t="s">
        <v>1605</v>
      </c>
      <c r="E1195">
        <v>25.1</v>
      </c>
      <c r="F1195">
        <v>3.6</v>
      </c>
      <c r="G1195">
        <v>38.6</v>
      </c>
      <c r="H1195">
        <v>2.5</v>
      </c>
    </row>
    <row r="1196" spans="1:8" x14ac:dyDescent="0.35">
      <c r="A1196">
        <v>1194</v>
      </c>
      <c r="B1196" t="s">
        <v>1605</v>
      </c>
      <c r="C1196" t="s">
        <v>1842</v>
      </c>
      <c r="D1196" t="s">
        <v>1352</v>
      </c>
      <c r="E1196">
        <v>2.4</v>
      </c>
      <c r="F1196">
        <v>25</v>
      </c>
      <c r="G1196">
        <v>30.6</v>
      </c>
      <c r="H1196">
        <v>5.8</v>
      </c>
    </row>
    <row r="1197" spans="1:8" x14ac:dyDescent="0.35">
      <c r="A1197">
        <v>1195</v>
      </c>
      <c r="B1197" t="s">
        <v>1605</v>
      </c>
      <c r="C1197" t="s">
        <v>1843</v>
      </c>
      <c r="D1197" t="s">
        <v>1844</v>
      </c>
      <c r="E1197">
        <v>11.6</v>
      </c>
      <c r="F1197">
        <v>7.6</v>
      </c>
      <c r="G1197">
        <v>30.9</v>
      </c>
      <c r="H1197">
        <v>16.8</v>
      </c>
    </row>
    <row r="1198" spans="1:8" x14ac:dyDescent="0.35">
      <c r="A1198">
        <v>1196</v>
      </c>
      <c r="B1198" t="s">
        <v>1605</v>
      </c>
      <c r="C1198" t="s">
        <v>1845</v>
      </c>
      <c r="D1198" t="s">
        <v>1846</v>
      </c>
      <c r="E1198">
        <v>28.9</v>
      </c>
      <c r="F1198">
        <v>4.7</v>
      </c>
      <c r="G1198">
        <v>11.5</v>
      </c>
      <c r="H1198">
        <v>5.6</v>
      </c>
    </row>
    <row r="1199" spans="1:8" x14ac:dyDescent="0.35">
      <c r="A1199">
        <v>1197</v>
      </c>
      <c r="B1199" t="s">
        <v>1605</v>
      </c>
      <c r="C1199" t="s">
        <v>1847</v>
      </c>
      <c r="D1199" t="s">
        <v>1848</v>
      </c>
      <c r="E1199">
        <v>13.6</v>
      </c>
      <c r="F1199">
        <v>11</v>
      </c>
      <c r="G1199">
        <v>25.1</v>
      </c>
      <c r="H1199">
        <v>10.5</v>
      </c>
    </row>
    <row r="1200" spans="1:8" x14ac:dyDescent="0.35">
      <c r="A1200">
        <v>1198</v>
      </c>
      <c r="B1200" t="s">
        <v>1605</v>
      </c>
      <c r="C1200" t="s">
        <v>1849</v>
      </c>
      <c r="D1200" t="s">
        <v>1185</v>
      </c>
      <c r="E1200">
        <v>13.4</v>
      </c>
      <c r="F1200">
        <v>7.5</v>
      </c>
      <c r="G1200">
        <v>8</v>
      </c>
      <c r="H1200">
        <v>8.1</v>
      </c>
    </row>
    <row r="1201" spans="1:8" x14ac:dyDescent="0.35">
      <c r="A1201">
        <v>1199</v>
      </c>
      <c r="B1201" t="s">
        <v>1605</v>
      </c>
      <c r="C1201" t="s">
        <v>1850</v>
      </c>
      <c r="D1201" t="s">
        <v>1851</v>
      </c>
      <c r="E1201">
        <v>4</v>
      </c>
      <c r="F1201" t="s">
        <v>303</v>
      </c>
      <c r="G1201">
        <v>1.8</v>
      </c>
      <c r="H1201">
        <v>8.5</v>
      </c>
    </row>
    <row r="1202" spans="1:8" x14ac:dyDescent="0.35">
      <c r="A1202">
        <v>1200</v>
      </c>
      <c r="B1202">
        <v>54.4</v>
      </c>
      <c r="C1202">
        <v>9.1999999999999993</v>
      </c>
      <c r="D1202" t="s">
        <v>1605</v>
      </c>
      <c r="E1202">
        <v>16.7</v>
      </c>
      <c r="F1202">
        <v>3.2</v>
      </c>
      <c r="G1202">
        <v>97</v>
      </c>
      <c r="H1202">
        <v>3.4</v>
      </c>
    </row>
    <row r="1203" spans="1:8" x14ac:dyDescent="0.35">
      <c r="A1203">
        <v>1201</v>
      </c>
      <c r="B1203" t="s">
        <v>1605</v>
      </c>
      <c r="C1203" t="s">
        <v>1852</v>
      </c>
      <c r="D1203" t="s">
        <v>1853</v>
      </c>
      <c r="E1203">
        <v>9.1999999999999993</v>
      </c>
      <c r="F1203">
        <v>10.3</v>
      </c>
      <c r="G1203">
        <v>22</v>
      </c>
      <c r="H1203">
        <v>25.1</v>
      </c>
    </row>
    <row r="1204" spans="1:8" x14ac:dyDescent="0.35">
      <c r="A1204">
        <v>1202</v>
      </c>
      <c r="B1204" t="s">
        <v>1605</v>
      </c>
      <c r="C1204" t="s">
        <v>1854</v>
      </c>
      <c r="D1204" t="s">
        <v>1094</v>
      </c>
      <c r="E1204">
        <v>24.1</v>
      </c>
      <c r="F1204">
        <v>6.8</v>
      </c>
      <c r="G1204">
        <v>13</v>
      </c>
      <c r="H1204">
        <v>8.5</v>
      </c>
    </row>
    <row r="1205" spans="1:8" x14ac:dyDescent="0.35">
      <c r="A1205">
        <v>1203</v>
      </c>
      <c r="B1205" t="s">
        <v>1855</v>
      </c>
      <c r="C1205" t="s">
        <v>1856</v>
      </c>
      <c r="D1205" t="s">
        <v>1857</v>
      </c>
      <c r="E1205">
        <v>5.8</v>
      </c>
      <c r="F1205">
        <v>8.8000000000000007</v>
      </c>
      <c r="G1205">
        <v>7.3</v>
      </c>
      <c r="H1205">
        <v>12.8</v>
      </c>
    </row>
    <row r="1206" spans="1:8" x14ac:dyDescent="0.35">
      <c r="A1206">
        <v>1204</v>
      </c>
      <c r="B1206" t="s">
        <v>1855</v>
      </c>
      <c r="C1206" t="s">
        <v>1858</v>
      </c>
      <c r="D1206" t="s">
        <v>1246</v>
      </c>
      <c r="E1206">
        <v>1.5</v>
      </c>
      <c r="F1206">
        <v>31.5</v>
      </c>
      <c r="G1206">
        <v>6.9</v>
      </c>
      <c r="H1206">
        <v>11.4</v>
      </c>
    </row>
    <row r="1207" spans="1:8" x14ac:dyDescent="0.35">
      <c r="A1207">
        <v>1205</v>
      </c>
      <c r="B1207" t="s">
        <v>1855</v>
      </c>
      <c r="C1207" t="s">
        <v>1859</v>
      </c>
      <c r="D1207" t="s">
        <v>1860</v>
      </c>
      <c r="E1207">
        <v>2.2999999999999998</v>
      </c>
      <c r="F1207">
        <v>7.6</v>
      </c>
      <c r="G1207">
        <v>10.1</v>
      </c>
      <c r="H1207">
        <v>12.8</v>
      </c>
    </row>
    <row r="1208" spans="1:8" x14ac:dyDescent="0.35">
      <c r="A1208">
        <v>1206</v>
      </c>
      <c r="B1208" t="s">
        <v>1855</v>
      </c>
      <c r="C1208" t="s">
        <v>1861</v>
      </c>
      <c r="D1208" t="s">
        <v>1862</v>
      </c>
      <c r="E1208">
        <v>4</v>
      </c>
      <c r="F1208" t="s">
        <v>303</v>
      </c>
      <c r="G1208">
        <v>6.7</v>
      </c>
      <c r="H1208">
        <v>10.6</v>
      </c>
    </row>
    <row r="1209" spans="1:8" x14ac:dyDescent="0.35">
      <c r="A1209">
        <v>1207</v>
      </c>
      <c r="B1209">
        <v>5.9</v>
      </c>
      <c r="C1209">
        <v>22.5</v>
      </c>
      <c r="D1209" t="s">
        <v>1855</v>
      </c>
      <c r="E1209">
        <v>5.0999999999999996</v>
      </c>
      <c r="F1209">
        <v>11.2</v>
      </c>
      <c r="G1209">
        <v>7.3</v>
      </c>
      <c r="H1209">
        <v>16.2</v>
      </c>
    </row>
    <row r="1210" spans="1:8" x14ac:dyDescent="0.35">
      <c r="A1210">
        <v>1208</v>
      </c>
      <c r="B1210" t="s">
        <v>1855</v>
      </c>
      <c r="C1210" t="s">
        <v>1863</v>
      </c>
      <c r="D1210" t="s">
        <v>579</v>
      </c>
      <c r="E1210">
        <v>17.899999999999999</v>
      </c>
      <c r="F1210">
        <v>7.5</v>
      </c>
      <c r="G1210">
        <v>10.1</v>
      </c>
      <c r="H1210">
        <v>10</v>
      </c>
    </row>
    <row r="1211" spans="1:8" x14ac:dyDescent="0.35">
      <c r="A1211">
        <v>1209</v>
      </c>
      <c r="B1211" t="s">
        <v>1855</v>
      </c>
      <c r="C1211" t="s">
        <v>1864</v>
      </c>
      <c r="D1211" t="s">
        <v>1179</v>
      </c>
      <c r="E1211">
        <v>8.6</v>
      </c>
      <c r="F1211">
        <v>8</v>
      </c>
      <c r="G1211">
        <v>36.700000000000003</v>
      </c>
      <c r="H1211">
        <v>7.3</v>
      </c>
    </row>
    <row r="1212" spans="1:8" x14ac:dyDescent="0.35">
      <c r="A1212">
        <v>1210</v>
      </c>
      <c r="B1212" t="s">
        <v>1855</v>
      </c>
      <c r="C1212" t="s">
        <v>1865</v>
      </c>
      <c r="D1212" t="s">
        <v>250</v>
      </c>
      <c r="E1212">
        <v>30.9</v>
      </c>
      <c r="F1212">
        <v>5.0999999999999996</v>
      </c>
      <c r="G1212">
        <v>8.4</v>
      </c>
      <c r="H1212">
        <v>9.5</v>
      </c>
    </row>
    <row r="1213" spans="1:8" x14ac:dyDescent="0.35">
      <c r="A1213">
        <v>1211</v>
      </c>
      <c r="B1213" t="s">
        <v>1855</v>
      </c>
      <c r="C1213" t="s">
        <v>1866</v>
      </c>
      <c r="D1213" t="s">
        <v>1867</v>
      </c>
      <c r="E1213">
        <v>11.6</v>
      </c>
      <c r="F1213">
        <v>8.4</v>
      </c>
      <c r="G1213">
        <v>3.9</v>
      </c>
      <c r="H1213">
        <v>6.7</v>
      </c>
    </row>
    <row r="1214" spans="1:8" x14ac:dyDescent="0.35">
      <c r="A1214">
        <v>1212</v>
      </c>
      <c r="B1214" t="s">
        <v>1855</v>
      </c>
      <c r="C1214" t="s">
        <v>1868</v>
      </c>
      <c r="D1214" t="s">
        <v>947</v>
      </c>
      <c r="E1214">
        <v>1</v>
      </c>
      <c r="F1214">
        <v>7</v>
      </c>
      <c r="G1214">
        <v>82.8</v>
      </c>
      <c r="H1214">
        <v>13.3</v>
      </c>
    </row>
    <row r="1215" spans="1:8" x14ac:dyDescent="0.35">
      <c r="A1215">
        <v>1213</v>
      </c>
      <c r="B1215" t="s">
        <v>1855</v>
      </c>
      <c r="C1215" t="s">
        <v>1869</v>
      </c>
      <c r="D1215" t="s">
        <v>1870</v>
      </c>
      <c r="E1215">
        <v>12.4</v>
      </c>
      <c r="F1215">
        <v>8.4</v>
      </c>
      <c r="G1215">
        <v>13.8</v>
      </c>
      <c r="H1215">
        <v>13.6</v>
      </c>
    </row>
    <row r="1216" spans="1:8" x14ac:dyDescent="0.35">
      <c r="A1216">
        <v>1214</v>
      </c>
      <c r="B1216" t="s">
        <v>1855</v>
      </c>
      <c r="C1216" t="s">
        <v>1871</v>
      </c>
      <c r="D1216" t="s">
        <v>29</v>
      </c>
      <c r="E1216">
        <v>2.6</v>
      </c>
      <c r="F1216">
        <v>8.8000000000000007</v>
      </c>
      <c r="G1216">
        <v>34.9</v>
      </c>
      <c r="H1216">
        <v>12</v>
      </c>
    </row>
    <row r="1217" spans="1:8" x14ac:dyDescent="0.35">
      <c r="A1217">
        <v>1215</v>
      </c>
      <c r="B1217" t="s">
        <v>1855</v>
      </c>
      <c r="C1217" t="s">
        <v>1872</v>
      </c>
      <c r="D1217" t="s">
        <v>1873</v>
      </c>
      <c r="E1217">
        <v>12.3</v>
      </c>
      <c r="F1217">
        <v>7</v>
      </c>
      <c r="G1217">
        <v>1.8</v>
      </c>
      <c r="H1217">
        <v>6.9</v>
      </c>
    </row>
    <row r="1218" spans="1:8" x14ac:dyDescent="0.35">
      <c r="A1218">
        <v>1216</v>
      </c>
      <c r="B1218" t="s">
        <v>1855</v>
      </c>
      <c r="C1218" t="s">
        <v>1874</v>
      </c>
      <c r="D1218" t="s">
        <v>1875</v>
      </c>
      <c r="E1218">
        <v>13.5</v>
      </c>
      <c r="F1218">
        <v>8</v>
      </c>
      <c r="G1218">
        <v>5.7</v>
      </c>
      <c r="H1218">
        <v>13.8</v>
      </c>
    </row>
    <row r="1219" spans="1:8" x14ac:dyDescent="0.35">
      <c r="A1219">
        <v>1217</v>
      </c>
      <c r="B1219" t="s">
        <v>1855</v>
      </c>
      <c r="C1219" t="s">
        <v>1876</v>
      </c>
      <c r="D1219" t="s">
        <v>1877</v>
      </c>
      <c r="E1219">
        <v>4.8</v>
      </c>
      <c r="F1219">
        <v>8.6</v>
      </c>
      <c r="G1219">
        <v>31.3</v>
      </c>
      <c r="H1219">
        <v>13.7</v>
      </c>
    </row>
    <row r="1220" spans="1:8" x14ac:dyDescent="0.35">
      <c r="A1220">
        <v>1218</v>
      </c>
      <c r="B1220" t="s">
        <v>1855</v>
      </c>
      <c r="C1220" t="s">
        <v>1878</v>
      </c>
      <c r="D1220" t="s">
        <v>1879</v>
      </c>
      <c r="E1220">
        <v>10.6</v>
      </c>
      <c r="F1220">
        <v>8.8000000000000007</v>
      </c>
      <c r="G1220">
        <v>7.4</v>
      </c>
      <c r="H1220">
        <v>8.1999999999999993</v>
      </c>
    </row>
    <row r="1221" spans="1:8" x14ac:dyDescent="0.35">
      <c r="A1221">
        <v>1219</v>
      </c>
      <c r="B1221" t="s">
        <v>1855</v>
      </c>
      <c r="C1221" t="s">
        <v>1880</v>
      </c>
      <c r="D1221" t="s">
        <v>1881</v>
      </c>
      <c r="E1221">
        <v>2.6</v>
      </c>
      <c r="F1221">
        <v>8.6999999999999993</v>
      </c>
      <c r="G1221">
        <v>3.8</v>
      </c>
      <c r="H1221">
        <v>15.3</v>
      </c>
    </row>
    <row r="1222" spans="1:8" x14ac:dyDescent="0.35">
      <c r="A1222">
        <v>1220</v>
      </c>
      <c r="B1222" t="s">
        <v>1855</v>
      </c>
      <c r="C1222" t="s">
        <v>1882</v>
      </c>
      <c r="D1222" t="s">
        <v>306</v>
      </c>
      <c r="E1222">
        <v>29.4</v>
      </c>
      <c r="F1222">
        <v>5.5</v>
      </c>
      <c r="G1222">
        <v>9.6999999999999993</v>
      </c>
      <c r="H1222">
        <v>4.5999999999999996</v>
      </c>
    </row>
    <row r="1223" spans="1:8" x14ac:dyDescent="0.35">
      <c r="A1223">
        <v>1221</v>
      </c>
      <c r="B1223" t="s">
        <v>1855</v>
      </c>
      <c r="C1223" t="s">
        <v>1883</v>
      </c>
      <c r="D1223" t="s">
        <v>1094</v>
      </c>
      <c r="E1223">
        <v>21.8</v>
      </c>
      <c r="F1223">
        <v>9</v>
      </c>
      <c r="G1223">
        <v>6.7</v>
      </c>
      <c r="H1223">
        <v>9.5</v>
      </c>
    </row>
    <row r="1224" spans="1:8" x14ac:dyDescent="0.35">
      <c r="A1224">
        <v>1222</v>
      </c>
      <c r="B1224" t="s">
        <v>1855</v>
      </c>
      <c r="C1224" t="s">
        <v>1884</v>
      </c>
      <c r="D1224" t="s">
        <v>1885</v>
      </c>
      <c r="E1224">
        <v>1.5</v>
      </c>
      <c r="F1224">
        <v>8.1999999999999993</v>
      </c>
      <c r="G1224">
        <v>1.5</v>
      </c>
      <c r="H1224">
        <v>10.8</v>
      </c>
    </row>
    <row r="1225" spans="1:8" x14ac:dyDescent="0.35">
      <c r="A1225">
        <v>1223</v>
      </c>
      <c r="B1225" t="s">
        <v>1855</v>
      </c>
      <c r="C1225" t="s">
        <v>1886</v>
      </c>
      <c r="D1225" t="s">
        <v>1887</v>
      </c>
      <c r="E1225">
        <v>6.6</v>
      </c>
      <c r="F1225">
        <v>21</v>
      </c>
      <c r="G1225">
        <v>4</v>
      </c>
      <c r="H1225">
        <v>11.1</v>
      </c>
    </row>
    <row r="1226" spans="1:8" x14ac:dyDescent="0.35">
      <c r="A1226">
        <v>1224</v>
      </c>
      <c r="B1226" t="s">
        <v>1855</v>
      </c>
      <c r="C1226" t="s">
        <v>1888</v>
      </c>
      <c r="D1226" t="s">
        <v>1889</v>
      </c>
      <c r="E1226">
        <v>20</v>
      </c>
      <c r="F1226">
        <v>7.7</v>
      </c>
      <c r="G1226">
        <v>3</v>
      </c>
      <c r="H1226">
        <v>7</v>
      </c>
    </row>
    <row r="1227" spans="1:8" x14ac:dyDescent="0.35">
      <c r="A1227">
        <v>1225</v>
      </c>
      <c r="B1227" t="s">
        <v>1855</v>
      </c>
      <c r="C1227" t="s">
        <v>1890</v>
      </c>
      <c r="D1227" t="s">
        <v>1891</v>
      </c>
      <c r="E1227">
        <v>2.9</v>
      </c>
      <c r="F1227">
        <v>9.5</v>
      </c>
      <c r="G1227">
        <v>6.4</v>
      </c>
      <c r="H1227">
        <v>17.5</v>
      </c>
    </row>
    <row r="1228" spans="1:8" x14ac:dyDescent="0.35">
      <c r="A1228">
        <v>1226</v>
      </c>
      <c r="B1228" t="s">
        <v>1855</v>
      </c>
      <c r="C1228" t="s">
        <v>1892</v>
      </c>
      <c r="D1228" t="s">
        <v>1035</v>
      </c>
      <c r="E1228">
        <v>4</v>
      </c>
      <c r="F1228">
        <v>2.6</v>
      </c>
      <c r="G1228">
        <v>71</v>
      </c>
      <c r="H1228">
        <v>10.1</v>
      </c>
    </row>
    <row r="1229" spans="1:8" x14ac:dyDescent="0.35">
      <c r="A1229">
        <v>1227</v>
      </c>
      <c r="B1229" t="s">
        <v>1855</v>
      </c>
      <c r="C1229" t="s">
        <v>1893</v>
      </c>
      <c r="D1229" t="s">
        <v>1894</v>
      </c>
      <c r="E1229">
        <v>13.1</v>
      </c>
      <c r="F1229">
        <v>6.9</v>
      </c>
      <c r="G1229">
        <v>3.6</v>
      </c>
      <c r="H1229">
        <v>8.4</v>
      </c>
    </row>
    <row r="1230" spans="1:8" x14ac:dyDescent="0.35">
      <c r="A1230">
        <v>1228</v>
      </c>
      <c r="B1230" t="s">
        <v>1855</v>
      </c>
      <c r="C1230" t="s">
        <v>1895</v>
      </c>
      <c r="D1230" t="s">
        <v>637</v>
      </c>
      <c r="E1230">
        <v>12.7</v>
      </c>
      <c r="F1230">
        <v>6</v>
      </c>
      <c r="G1230" t="s">
        <v>1896</v>
      </c>
      <c r="H1230">
        <v>5.6</v>
      </c>
    </row>
    <row r="1231" spans="1:8" x14ac:dyDescent="0.35">
      <c r="A1231">
        <v>1229</v>
      </c>
      <c r="B1231" t="s">
        <v>1855</v>
      </c>
      <c r="C1231" t="s">
        <v>1897</v>
      </c>
      <c r="D1231" t="s">
        <v>1898</v>
      </c>
      <c r="E1231">
        <v>13.5</v>
      </c>
      <c r="F1231">
        <v>6.7</v>
      </c>
      <c r="G1231">
        <v>5.7</v>
      </c>
      <c r="H1231">
        <v>15.2</v>
      </c>
    </row>
    <row r="1232" spans="1:8" x14ac:dyDescent="0.35">
      <c r="A1232">
        <v>1230</v>
      </c>
      <c r="B1232" t="s">
        <v>1855</v>
      </c>
      <c r="C1232" t="s">
        <v>1899</v>
      </c>
      <c r="D1232" t="s">
        <v>1900</v>
      </c>
      <c r="E1232">
        <v>12</v>
      </c>
      <c r="F1232">
        <v>10.6</v>
      </c>
      <c r="G1232">
        <v>3.8</v>
      </c>
      <c r="H1232">
        <v>11.5</v>
      </c>
    </row>
    <row r="1233" spans="1:8" x14ac:dyDescent="0.35">
      <c r="A1233">
        <v>1231</v>
      </c>
      <c r="B1233" t="s">
        <v>1855</v>
      </c>
      <c r="C1233" t="s">
        <v>1901</v>
      </c>
      <c r="D1233" t="s">
        <v>1902</v>
      </c>
      <c r="E1233">
        <v>25.7</v>
      </c>
      <c r="F1233">
        <v>5.6</v>
      </c>
      <c r="G1233">
        <v>7.7</v>
      </c>
      <c r="H1233">
        <v>13.6</v>
      </c>
    </row>
    <row r="1234" spans="1:8" x14ac:dyDescent="0.35">
      <c r="A1234">
        <v>1232</v>
      </c>
      <c r="B1234" t="s">
        <v>1855</v>
      </c>
      <c r="C1234" t="s">
        <v>1903</v>
      </c>
      <c r="D1234" t="s">
        <v>1904</v>
      </c>
      <c r="E1234">
        <v>4</v>
      </c>
      <c r="F1234" t="s">
        <v>303</v>
      </c>
      <c r="G1234" t="s">
        <v>304</v>
      </c>
      <c r="H1234">
        <v>3</v>
      </c>
    </row>
    <row r="1235" spans="1:8" x14ac:dyDescent="0.35">
      <c r="A1235">
        <v>1233</v>
      </c>
      <c r="B1235">
        <v>12.7</v>
      </c>
      <c r="C1235">
        <v>39.799999999999997</v>
      </c>
      <c r="D1235">
        <v>5.7</v>
      </c>
      <c r="E1235">
        <v>8.9</v>
      </c>
      <c r="F1235">
        <v>7.8</v>
      </c>
      <c r="G1235">
        <v>4.9000000000000004</v>
      </c>
      <c r="H1235">
        <v>17.600000000000001</v>
      </c>
    </row>
    <row r="1236" spans="1:8" x14ac:dyDescent="0.35">
      <c r="A1236">
        <v>1234</v>
      </c>
      <c r="B1236" t="s">
        <v>1855</v>
      </c>
      <c r="C1236" t="s">
        <v>1905</v>
      </c>
      <c r="D1236" t="s">
        <v>1906</v>
      </c>
      <c r="E1236">
        <v>12.3</v>
      </c>
      <c r="F1236">
        <v>6.4</v>
      </c>
      <c r="G1236">
        <v>59.9</v>
      </c>
      <c r="H1236">
        <v>4.8</v>
      </c>
    </row>
    <row r="1237" spans="1:8" x14ac:dyDescent="0.35">
      <c r="A1237">
        <v>1235</v>
      </c>
      <c r="B1237" t="s">
        <v>1855</v>
      </c>
      <c r="C1237" t="s">
        <v>1907</v>
      </c>
      <c r="D1237" t="s">
        <v>1908</v>
      </c>
      <c r="E1237">
        <v>6.4</v>
      </c>
      <c r="F1237">
        <v>3</v>
      </c>
      <c r="G1237">
        <v>93.1</v>
      </c>
      <c r="H1237">
        <v>3.6</v>
      </c>
    </row>
    <row r="1238" spans="1:8" x14ac:dyDescent="0.35">
      <c r="A1238">
        <v>1236</v>
      </c>
      <c r="B1238" t="s">
        <v>1855</v>
      </c>
      <c r="C1238" t="s">
        <v>1909</v>
      </c>
      <c r="D1238" t="s">
        <v>1910</v>
      </c>
      <c r="E1238">
        <v>16.100000000000001</v>
      </c>
      <c r="F1238">
        <v>5.3</v>
      </c>
      <c r="G1238">
        <v>32.200000000000003</v>
      </c>
      <c r="H1238">
        <v>10.9</v>
      </c>
    </row>
    <row r="1239" spans="1:8" x14ac:dyDescent="0.35">
      <c r="A1239">
        <v>1237</v>
      </c>
      <c r="B1239" t="s">
        <v>1855</v>
      </c>
      <c r="C1239" t="s">
        <v>1911</v>
      </c>
      <c r="D1239" t="s">
        <v>1912</v>
      </c>
      <c r="E1239">
        <v>12.9</v>
      </c>
      <c r="F1239">
        <v>11.6</v>
      </c>
      <c r="G1239">
        <v>1.3</v>
      </c>
      <c r="H1239">
        <v>7.3</v>
      </c>
    </row>
    <row r="1240" spans="1:8" x14ac:dyDescent="0.35">
      <c r="A1240">
        <v>1238</v>
      </c>
      <c r="B1240" t="s">
        <v>1855</v>
      </c>
      <c r="C1240" t="s">
        <v>1913</v>
      </c>
      <c r="D1240" t="s">
        <v>1914</v>
      </c>
      <c r="E1240">
        <v>38.200000000000003</v>
      </c>
      <c r="F1240">
        <v>4.2</v>
      </c>
      <c r="G1240">
        <v>2.7</v>
      </c>
      <c r="H1240">
        <v>13.6</v>
      </c>
    </row>
    <row r="1241" spans="1:8" x14ac:dyDescent="0.35">
      <c r="A1241">
        <v>1239</v>
      </c>
      <c r="B1241" t="s">
        <v>1855</v>
      </c>
      <c r="C1241" t="s">
        <v>1915</v>
      </c>
      <c r="D1241" t="s">
        <v>1916</v>
      </c>
      <c r="E1241">
        <v>12.4</v>
      </c>
      <c r="F1241">
        <v>8.1999999999999993</v>
      </c>
      <c r="G1241">
        <v>18.100000000000001</v>
      </c>
      <c r="H1241">
        <v>9.8000000000000007</v>
      </c>
    </row>
    <row r="1242" spans="1:8" x14ac:dyDescent="0.35">
      <c r="A1242">
        <v>1240</v>
      </c>
      <c r="B1242" t="s">
        <v>1855</v>
      </c>
      <c r="C1242" t="s">
        <v>1917</v>
      </c>
      <c r="D1242" t="s">
        <v>888</v>
      </c>
      <c r="E1242">
        <v>1.5</v>
      </c>
      <c r="F1242">
        <v>10.4</v>
      </c>
      <c r="G1242">
        <v>39.700000000000003</v>
      </c>
      <c r="H1242">
        <v>24.1</v>
      </c>
    </row>
    <row r="1243" spans="1:8" x14ac:dyDescent="0.35">
      <c r="A1243">
        <v>1241</v>
      </c>
      <c r="B1243" t="s">
        <v>1855</v>
      </c>
      <c r="C1243" t="s">
        <v>1918</v>
      </c>
      <c r="D1243" t="s">
        <v>74</v>
      </c>
      <c r="E1243">
        <v>1.8</v>
      </c>
      <c r="F1243">
        <v>5.8</v>
      </c>
      <c r="G1243">
        <v>22.4</v>
      </c>
      <c r="H1243">
        <v>16.899999999999999</v>
      </c>
    </row>
    <row r="1244" spans="1:8" x14ac:dyDescent="0.35">
      <c r="A1244">
        <v>1242</v>
      </c>
      <c r="B1244" t="s">
        <v>1855</v>
      </c>
      <c r="C1244" t="s">
        <v>1919</v>
      </c>
      <c r="D1244" t="s">
        <v>1920</v>
      </c>
      <c r="E1244">
        <v>1.2</v>
      </c>
      <c r="F1244">
        <v>7.8</v>
      </c>
      <c r="G1244">
        <v>37.1</v>
      </c>
      <c r="H1244">
        <v>7.5</v>
      </c>
    </row>
    <row r="1245" spans="1:8" x14ac:dyDescent="0.35">
      <c r="A1245">
        <v>1243</v>
      </c>
      <c r="B1245" t="s">
        <v>1855</v>
      </c>
      <c r="C1245" t="s">
        <v>1921</v>
      </c>
      <c r="D1245" t="s">
        <v>499</v>
      </c>
      <c r="E1245">
        <v>2.1</v>
      </c>
      <c r="F1245">
        <v>8.3000000000000007</v>
      </c>
      <c r="G1245">
        <v>19.899999999999999</v>
      </c>
      <c r="H1245">
        <v>5.6</v>
      </c>
    </row>
    <row r="1246" spans="1:8" x14ac:dyDescent="0.35">
      <c r="A1246">
        <v>1244</v>
      </c>
      <c r="B1246" t="s">
        <v>1855</v>
      </c>
      <c r="C1246" t="s">
        <v>1922</v>
      </c>
      <c r="D1246" t="s">
        <v>1923</v>
      </c>
      <c r="E1246">
        <v>1.1000000000000001</v>
      </c>
      <c r="F1246">
        <v>9.5</v>
      </c>
      <c r="G1246">
        <v>89.5</v>
      </c>
      <c r="H1246">
        <v>10.1</v>
      </c>
    </row>
    <row r="1247" spans="1:8" x14ac:dyDescent="0.35">
      <c r="A1247">
        <v>1245</v>
      </c>
      <c r="B1247" t="s">
        <v>1855</v>
      </c>
      <c r="C1247" t="s">
        <v>1924</v>
      </c>
      <c r="D1247" t="s">
        <v>1925</v>
      </c>
      <c r="E1247">
        <v>1.6</v>
      </c>
      <c r="F1247">
        <v>10.4</v>
      </c>
      <c r="G1247">
        <v>26.5</v>
      </c>
      <c r="H1247">
        <v>25.1</v>
      </c>
    </row>
    <row r="1248" spans="1:8" x14ac:dyDescent="0.35">
      <c r="A1248">
        <v>1246</v>
      </c>
      <c r="B1248" t="s">
        <v>1855</v>
      </c>
      <c r="C1248" t="s">
        <v>1926</v>
      </c>
      <c r="D1248" t="s">
        <v>1891</v>
      </c>
      <c r="E1248">
        <v>21.3</v>
      </c>
      <c r="F1248">
        <v>9</v>
      </c>
      <c r="G1248">
        <v>7.3</v>
      </c>
      <c r="H1248">
        <v>15.2</v>
      </c>
    </row>
    <row r="1249" spans="1:8" x14ac:dyDescent="0.35">
      <c r="A1249">
        <v>1247</v>
      </c>
      <c r="B1249" t="s">
        <v>1855</v>
      </c>
      <c r="C1249" t="s">
        <v>1927</v>
      </c>
      <c r="D1249" t="s">
        <v>759</v>
      </c>
      <c r="E1249">
        <v>4</v>
      </c>
      <c r="F1249" t="s">
        <v>303</v>
      </c>
      <c r="G1249" t="s">
        <v>304</v>
      </c>
      <c r="H1249">
        <v>3.7</v>
      </c>
    </row>
    <row r="1250" spans="1:8" x14ac:dyDescent="0.35">
      <c r="A1250">
        <v>1248</v>
      </c>
      <c r="B1250">
        <v>7.2</v>
      </c>
      <c r="C1250">
        <v>31.2</v>
      </c>
      <c r="D1250">
        <v>4.9000000000000004</v>
      </c>
      <c r="E1250">
        <v>12.8</v>
      </c>
      <c r="F1250">
        <v>5.8</v>
      </c>
      <c r="G1250">
        <v>49.4</v>
      </c>
      <c r="H1250">
        <v>4.9000000000000004</v>
      </c>
    </row>
    <row r="1251" spans="1:8" x14ac:dyDescent="0.35">
      <c r="A1251">
        <v>1249</v>
      </c>
      <c r="B1251" t="s">
        <v>1855</v>
      </c>
      <c r="C1251" t="s">
        <v>1928</v>
      </c>
      <c r="D1251" t="s">
        <v>1929</v>
      </c>
      <c r="E1251">
        <v>6.5</v>
      </c>
      <c r="F1251">
        <v>6.6</v>
      </c>
      <c r="G1251">
        <v>57.9</v>
      </c>
      <c r="H1251">
        <v>4.9000000000000004</v>
      </c>
    </row>
    <row r="1252" spans="1:8" x14ac:dyDescent="0.35">
      <c r="A1252">
        <v>1250</v>
      </c>
      <c r="B1252" t="s">
        <v>1855</v>
      </c>
      <c r="C1252" t="s">
        <v>1930</v>
      </c>
      <c r="D1252" t="s">
        <v>327</v>
      </c>
      <c r="E1252">
        <v>2.8</v>
      </c>
      <c r="F1252">
        <v>12.8</v>
      </c>
      <c r="G1252">
        <v>13.7</v>
      </c>
      <c r="H1252">
        <v>34.6</v>
      </c>
    </row>
    <row r="1253" spans="1:8" x14ac:dyDescent="0.35">
      <c r="A1253">
        <v>1251</v>
      </c>
      <c r="B1253" t="s">
        <v>1855</v>
      </c>
      <c r="C1253" t="s">
        <v>1931</v>
      </c>
      <c r="D1253" t="s">
        <v>1932</v>
      </c>
      <c r="E1253">
        <v>16.899999999999999</v>
      </c>
      <c r="F1253">
        <v>7.1</v>
      </c>
      <c r="G1253">
        <v>7.1</v>
      </c>
      <c r="H1253">
        <v>5.8</v>
      </c>
    </row>
    <row r="1254" spans="1:8" x14ac:dyDescent="0.35">
      <c r="A1254">
        <v>1252</v>
      </c>
      <c r="B1254" t="s">
        <v>1855</v>
      </c>
      <c r="C1254" t="s">
        <v>1933</v>
      </c>
      <c r="D1254" t="s">
        <v>385</v>
      </c>
      <c r="E1254">
        <v>6.5</v>
      </c>
      <c r="F1254">
        <v>13.1</v>
      </c>
      <c r="G1254">
        <v>5.5</v>
      </c>
      <c r="H1254">
        <v>10.8</v>
      </c>
    </row>
    <row r="1255" spans="1:8" x14ac:dyDescent="0.35">
      <c r="A1255">
        <v>1253</v>
      </c>
      <c r="B1255" t="s">
        <v>1855</v>
      </c>
      <c r="C1255" t="s">
        <v>1934</v>
      </c>
      <c r="D1255" t="s">
        <v>1935</v>
      </c>
      <c r="E1255">
        <v>4.0999999999999996</v>
      </c>
      <c r="F1255">
        <v>12.5</v>
      </c>
      <c r="G1255">
        <v>4.5</v>
      </c>
      <c r="H1255">
        <v>10.8</v>
      </c>
    </row>
    <row r="1256" spans="1:8" x14ac:dyDescent="0.35">
      <c r="A1256">
        <v>1254</v>
      </c>
      <c r="B1256" t="s">
        <v>1855</v>
      </c>
      <c r="C1256" t="s">
        <v>1936</v>
      </c>
      <c r="D1256" t="s">
        <v>1327</v>
      </c>
      <c r="E1256">
        <v>1.1000000000000001</v>
      </c>
      <c r="F1256">
        <v>12</v>
      </c>
      <c r="G1256">
        <v>24.4</v>
      </c>
      <c r="H1256">
        <v>15.2</v>
      </c>
    </row>
    <row r="1257" spans="1:8" x14ac:dyDescent="0.35">
      <c r="A1257">
        <v>1255</v>
      </c>
      <c r="B1257" t="s">
        <v>1855</v>
      </c>
      <c r="C1257" t="s">
        <v>1937</v>
      </c>
      <c r="D1257" t="s">
        <v>1938</v>
      </c>
      <c r="E1257">
        <v>34.299999999999997</v>
      </c>
      <c r="F1257">
        <v>4.3</v>
      </c>
      <c r="G1257">
        <v>10.5</v>
      </c>
      <c r="H1257">
        <v>9.9</v>
      </c>
    </row>
    <row r="1258" spans="1:8" x14ac:dyDescent="0.35">
      <c r="A1258">
        <v>1256</v>
      </c>
      <c r="B1258" t="s">
        <v>1855</v>
      </c>
      <c r="C1258" t="s">
        <v>1939</v>
      </c>
      <c r="D1258" t="s">
        <v>1940</v>
      </c>
      <c r="E1258">
        <v>2.9</v>
      </c>
      <c r="F1258">
        <v>8.8000000000000007</v>
      </c>
      <c r="G1258">
        <v>49.2</v>
      </c>
      <c r="H1258">
        <v>14.7</v>
      </c>
    </row>
    <row r="1259" spans="1:8" x14ac:dyDescent="0.35">
      <c r="A1259">
        <v>1257</v>
      </c>
      <c r="B1259" t="s">
        <v>1855</v>
      </c>
      <c r="C1259" t="s">
        <v>1941</v>
      </c>
      <c r="D1259" t="s">
        <v>49</v>
      </c>
      <c r="E1259">
        <v>10</v>
      </c>
      <c r="F1259">
        <v>11.1</v>
      </c>
      <c r="G1259">
        <v>24.5</v>
      </c>
      <c r="H1259">
        <v>13.2</v>
      </c>
    </row>
    <row r="1260" spans="1:8" x14ac:dyDescent="0.35">
      <c r="A1260">
        <v>1258</v>
      </c>
      <c r="B1260" t="s">
        <v>1855</v>
      </c>
      <c r="C1260" t="s">
        <v>1942</v>
      </c>
      <c r="D1260" t="s">
        <v>1925</v>
      </c>
      <c r="E1260">
        <v>2.2000000000000002</v>
      </c>
      <c r="F1260">
        <v>9</v>
      </c>
      <c r="G1260">
        <v>31</v>
      </c>
      <c r="H1260">
        <v>26.9</v>
      </c>
    </row>
    <row r="1261" spans="1:8" x14ac:dyDescent="0.35">
      <c r="A1261">
        <v>1259</v>
      </c>
      <c r="B1261" t="s">
        <v>1855</v>
      </c>
      <c r="C1261" t="s">
        <v>1943</v>
      </c>
      <c r="D1261" t="s">
        <v>1944</v>
      </c>
      <c r="E1261">
        <v>7.5</v>
      </c>
      <c r="F1261">
        <v>10.8</v>
      </c>
      <c r="G1261">
        <v>14.6</v>
      </c>
      <c r="H1261">
        <v>6.7</v>
      </c>
    </row>
    <row r="1262" spans="1:8" x14ac:dyDescent="0.35">
      <c r="A1262">
        <v>1260</v>
      </c>
      <c r="B1262" t="s">
        <v>1855</v>
      </c>
      <c r="C1262" t="s">
        <v>1945</v>
      </c>
      <c r="D1262" t="s">
        <v>1806</v>
      </c>
      <c r="E1262">
        <v>11.7</v>
      </c>
      <c r="F1262">
        <v>5.0999999999999996</v>
      </c>
      <c r="G1262">
        <v>7.8</v>
      </c>
      <c r="H1262">
        <v>10.1</v>
      </c>
    </row>
    <row r="1263" spans="1:8" x14ac:dyDescent="0.35">
      <c r="A1263">
        <v>1261</v>
      </c>
      <c r="B1263" t="s">
        <v>1855</v>
      </c>
      <c r="C1263" t="s">
        <v>1946</v>
      </c>
      <c r="D1263" t="s">
        <v>288</v>
      </c>
      <c r="E1263">
        <v>30.2</v>
      </c>
      <c r="F1263">
        <v>8.1999999999999993</v>
      </c>
      <c r="G1263">
        <v>10.199999999999999</v>
      </c>
      <c r="H1263">
        <v>4.7</v>
      </c>
    </row>
    <row r="1264" spans="1:8" x14ac:dyDescent="0.35">
      <c r="A1264">
        <v>1262</v>
      </c>
      <c r="B1264" t="s">
        <v>1855</v>
      </c>
      <c r="C1264" t="s">
        <v>1947</v>
      </c>
      <c r="D1264" t="s">
        <v>1948</v>
      </c>
      <c r="E1264">
        <v>2</v>
      </c>
      <c r="F1264">
        <v>4.5</v>
      </c>
      <c r="G1264">
        <v>97.3</v>
      </c>
      <c r="H1264">
        <v>10.6</v>
      </c>
    </row>
    <row r="1265" spans="1:8" x14ac:dyDescent="0.35">
      <c r="A1265">
        <v>1263</v>
      </c>
      <c r="B1265" t="s">
        <v>1855</v>
      </c>
      <c r="C1265" t="s">
        <v>1949</v>
      </c>
      <c r="D1265" t="s">
        <v>100</v>
      </c>
      <c r="E1265">
        <v>4.2</v>
      </c>
      <c r="F1265">
        <v>13.5</v>
      </c>
      <c r="G1265">
        <v>9</v>
      </c>
      <c r="H1265">
        <v>10.3</v>
      </c>
    </row>
    <row r="1266" spans="1:8" x14ac:dyDescent="0.35">
      <c r="A1266">
        <v>1264</v>
      </c>
      <c r="B1266" t="s">
        <v>1855</v>
      </c>
      <c r="C1266" t="s">
        <v>1950</v>
      </c>
      <c r="D1266" t="s">
        <v>1951</v>
      </c>
      <c r="E1266">
        <v>18.8</v>
      </c>
      <c r="F1266">
        <v>8</v>
      </c>
      <c r="G1266">
        <v>12.3</v>
      </c>
      <c r="H1266">
        <v>7.2</v>
      </c>
    </row>
    <row r="1267" spans="1:8" x14ac:dyDescent="0.35">
      <c r="A1267">
        <v>1265</v>
      </c>
      <c r="B1267" t="s">
        <v>1855</v>
      </c>
      <c r="C1267" t="s">
        <v>1952</v>
      </c>
      <c r="D1267" t="s">
        <v>1311</v>
      </c>
      <c r="E1267">
        <v>1.5</v>
      </c>
      <c r="F1267">
        <v>5.0999999999999996</v>
      </c>
      <c r="G1267">
        <v>57.7</v>
      </c>
      <c r="H1267">
        <v>18.7</v>
      </c>
    </row>
    <row r="1268" spans="1:8" x14ac:dyDescent="0.35">
      <c r="A1268">
        <v>1266</v>
      </c>
      <c r="B1268" t="s">
        <v>1855</v>
      </c>
      <c r="C1268" t="s">
        <v>1953</v>
      </c>
      <c r="D1268" t="s">
        <v>1372</v>
      </c>
      <c r="E1268">
        <v>16.399999999999999</v>
      </c>
      <c r="F1268">
        <v>6.1</v>
      </c>
      <c r="G1268">
        <v>4.2</v>
      </c>
      <c r="H1268">
        <v>19.2</v>
      </c>
    </row>
    <row r="1269" spans="1:8" x14ac:dyDescent="0.35">
      <c r="A1269">
        <v>1267</v>
      </c>
      <c r="B1269" t="s">
        <v>1855</v>
      </c>
      <c r="C1269" t="s">
        <v>1954</v>
      </c>
      <c r="D1269" t="s">
        <v>1955</v>
      </c>
      <c r="E1269">
        <v>6.5</v>
      </c>
      <c r="F1269">
        <v>7.8</v>
      </c>
      <c r="G1269">
        <v>9.6999999999999993</v>
      </c>
      <c r="H1269">
        <v>11.1</v>
      </c>
    </row>
    <row r="1270" spans="1:8" x14ac:dyDescent="0.35">
      <c r="A1270">
        <v>1268</v>
      </c>
      <c r="B1270" t="s">
        <v>1855</v>
      </c>
      <c r="C1270" t="s">
        <v>1956</v>
      </c>
      <c r="D1270" t="s">
        <v>1957</v>
      </c>
      <c r="E1270">
        <v>20.2</v>
      </c>
      <c r="F1270">
        <v>6.3</v>
      </c>
      <c r="G1270">
        <v>10.4</v>
      </c>
      <c r="H1270">
        <v>5.3</v>
      </c>
    </row>
    <row r="1271" spans="1:8" x14ac:dyDescent="0.35">
      <c r="A1271">
        <v>1269</v>
      </c>
      <c r="B1271" t="s">
        <v>1855</v>
      </c>
      <c r="C1271" t="s">
        <v>1958</v>
      </c>
      <c r="D1271" t="s">
        <v>1959</v>
      </c>
      <c r="E1271">
        <v>3.4</v>
      </c>
      <c r="F1271">
        <v>6.6</v>
      </c>
      <c r="G1271">
        <v>19.7</v>
      </c>
      <c r="H1271">
        <v>23.8</v>
      </c>
    </row>
    <row r="1272" spans="1:8" x14ac:dyDescent="0.35">
      <c r="A1272">
        <v>1270</v>
      </c>
      <c r="B1272" t="s">
        <v>1855</v>
      </c>
      <c r="C1272" t="s">
        <v>1960</v>
      </c>
      <c r="D1272" t="s">
        <v>1961</v>
      </c>
      <c r="E1272">
        <v>1.6</v>
      </c>
      <c r="F1272">
        <v>3.4</v>
      </c>
      <c r="G1272">
        <v>75.8</v>
      </c>
      <c r="H1272">
        <v>6.3</v>
      </c>
    </row>
    <row r="1273" spans="1:8" x14ac:dyDescent="0.35">
      <c r="A1273">
        <v>1271</v>
      </c>
      <c r="B1273" t="s">
        <v>1855</v>
      </c>
      <c r="C1273" t="s">
        <v>1962</v>
      </c>
      <c r="D1273" t="s">
        <v>900</v>
      </c>
      <c r="E1273">
        <v>9.8000000000000007</v>
      </c>
      <c r="F1273">
        <v>12.1</v>
      </c>
      <c r="G1273">
        <v>6.7</v>
      </c>
      <c r="H1273">
        <v>11.1</v>
      </c>
    </row>
    <row r="1274" spans="1:8" x14ac:dyDescent="0.35">
      <c r="A1274">
        <v>1272</v>
      </c>
      <c r="B1274" t="s">
        <v>1855</v>
      </c>
      <c r="C1274" t="s">
        <v>1963</v>
      </c>
      <c r="D1274" t="s">
        <v>242</v>
      </c>
      <c r="E1274">
        <v>16.7</v>
      </c>
      <c r="F1274">
        <v>7.4</v>
      </c>
      <c r="G1274">
        <v>8.4</v>
      </c>
      <c r="H1274">
        <v>11</v>
      </c>
    </row>
    <row r="1275" spans="1:8" x14ac:dyDescent="0.35">
      <c r="A1275">
        <v>1273</v>
      </c>
      <c r="B1275" t="s">
        <v>1855</v>
      </c>
      <c r="C1275" t="s">
        <v>1964</v>
      </c>
      <c r="D1275" t="s">
        <v>1965</v>
      </c>
      <c r="E1275">
        <v>33</v>
      </c>
      <c r="F1275">
        <v>6.3</v>
      </c>
      <c r="G1275">
        <v>1.4</v>
      </c>
      <c r="H1275">
        <v>6</v>
      </c>
    </row>
    <row r="1276" spans="1:8" x14ac:dyDescent="0.35">
      <c r="A1276">
        <v>1274</v>
      </c>
      <c r="B1276" t="s">
        <v>1855</v>
      </c>
      <c r="C1276" t="s">
        <v>1966</v>
      </c>
      <c r="D1276" t="s">
        <v>499</v>
      </c>
      <c r="E1276">
        <v>11.6</v>
      </c>
      <c r="F1276">
        <v>7.3</v>
      </c>
      <c r="G1276">
        <v>7.3</v>
      </c>
      <c r="H1276">
        <v>16.899999999999999</v>
      </c>
    </row>
    <row r="1277" spans="1:8" x14ac:dyDescent="0.35">
      <c r="A1277">
        <v>1275</v>
      </c>
      <c r="B1277" t="s">
        <v>1855</v>
      </c>
      <c r="C1277" t="s">
        <v>1967</v>
      </c>
      <c r="D1277" t="s">
        <v>1968</v>
      </c>
      <c r="E1277">
        <v>3.5</v>
      </c>
      <c r="F1277">
        <v>6.9</v>
      </c>
      <c r="G1277">
        <v>28.7</v>
      </c>
      <c r="H1277">
        <v>13.1</v>
      </c>
    </row>
    <row r="1278" spans="1:8" x14ac:dyDescent="0.35">
      <c r="A1278">
        <v>1276</v>
      </c>
      <c r="B1278" t="s">
        <v>1855</v>
      </c>
      <c r="C1278" t="s">
        <v>1969</v>
      </c>
      <c r="D1278" t="s">
        <v>800</v>
      </c>
      <c r="E1278">
        <v>9.6</v>
      </c>
      <c r="F1278">
        <v>14.8</v>
      </c>
      <c r="G1278">
        <v>3</v>
      </c>
      <c r="H1278">
        <v>6.8</v>
      </c>
    </row>
    <row r="1279" spans="1:8" x14ac:dyDescent="0.35">
      <c r="A1279">
        <v>1277</v>
      </c>
      <c r="B1279" t="s">
        <v>1855</v>
      </c>
      <c r="C1279" t="s">
        <v>1970</v>
      </c>
      <c r="D1279" t="s">
        <v>1971</v>
      </c>
      <c r="E1279">
        <v>14.1</v>
      </c>
      <c r="F1279">
        <v>5.2</v>
      </c>
      <c r="G1279">
        <v>13.6</v>
      </c>
      <c r="H1279">
        <v>6.1</v>
      </c>
    </row>
    <row r="1280" spans="1:8" x14ac:dyDescent="0.35">
      <c r="A1280">
        <v>1278</v>
      </c>
      <c r="B1280" t="s">
        <v>1855</v>
      </c>
      <c r="C1280" t="s">
        <v>1972</v>
      </c>
      <c r="D1280" t="s">
        <v>761</v>
      </c>
      <c r="E1280">
        <v>13.2</v>
      </c>
      <c r="F1280">
        <v>8.1</v>
      </c>
      <c r="G1280">
        <v>24.9</v>
      </c>
      <c r="H1280">
        <v>4.9000000000000004</v>
      </c>
    </row>
    <row r="1281" spans="1:8" x14ac:dyDescent="0.35">
      <c r="A1281">
        <v>1279</v>
      </c>
      <c r="B1281" t="s">
        <v>1855</v>
      </c>
      <c r="C1281" t="s">
        <v>1973</v>
      </c>
      <c r="D1281" t="s">
        <v>1974</v>
      </c>
      <c r="E1281">
        <v>12</v>
      </c>
      <c r="F1281">
        <v>4.3</v>
      </c>
      <c r="G1281">
        <v>6.1</v>
      </c>
      <c r="H1281">
        <v>6.8</v>
      </c>
    </row>
    <row r="1282" spans="1:8" x14ac:dyDescent="0.35">
      <c r="A1282">
        <v>1280</v>
      </c>
      <c r="B1282" t="s">
        <v>1855</v>
      </c>
      <c r="C1282" t="s">
        <v>1975</v>
      </c>
      <c r="D1282" t="s">
        <v>1059</v>
      </c>
      <c r="E1282">
        <v>6.7</v>
      </c>
      <c r="F1282">
        <v>10.5</v>
      </c>
      <c r="G1282">
        <v>27.6</v>
      </c>
      <c r="H1282">
        <v>7.1</v>
      </c>
    </row>
    <row r="1283" spans="1:8" x14ac:dyDescent="0.35">
      <c r="A1283">
        <v>1281</v>
      </c>
      <c r="B1283" t="s">
        <v>1855</v>
      </c>
      <c r="C1283" t="s">
        <v>1976</v>
      </c>
      <c r="D1283" t="s">
        <v>214</v>
      </c>
      <c r="E1283">
        <v>1.2</v>
      </c>
      <c r="F1283">
        <v>5.0999999999999996</v>
      </c>
      <c r="G1283">
        <v>41.1</v>
      </c>
      <c r="H1283">
        <v>23.4</v>
      </c>
    </row>
    <row r="1284" spans="1:8" x14ac:dyDescent="0.35">
      <c r="A1284">
        <v>1282</v>
      </c>
      <c r="B1284" t="s">
        <v>1855</v>
      </c>
      <c r="C1284" t="s">
        <v>1977</v>
      </c>
      <c r="D1284" t="s">
        <v>1035</v>
      </c>
      <c r="E1284">
        <v>2.8</v>
      </c>
      <c r="F1284">
        <v>3.2</v>
      </c>
      <c r="G1284">
        <v>49.1</v>
      </c>
      <c r="H1284">
        <v>9.1</v>
      </c>
    </row>
    <row r="1285" spans="1:8" x14ac:dyDescent="0.35">
      <c r="A1285">
        <v>1283</v>
      </c>
      <c r="B1285" t="s">
        <v>1855</v>
      </c>
      <c r="C1285" t="s">
        <v>1978</v>
      </c>
      <c r="D1285" t="s">
        <v>1979</v>
      </c>
      <c r="E1285">
        <v>4</v>
      </c>
      <c r="F1285" t="s">
        <v>303</v>
      </c>
      <c r="G1285">
        <v>1.5</v>
      </c>
      <c r="H1285">
        <v>7.7</v>
      </c>
    </row>
    <row r="1286" spans="1:8" x14ac:dyDescent="0.35">
      <c r="A1286">
        <v>1284</v>
      </c>
      <c r="B1286">
        <v>46.4</v>
      </c>
      <c r="C1286">
        <v>20.8</v>
      </c>
      <c r="D1286" t="s">
        <v>1855</v>
      </c>
      <c r="E1286">
        <v>2.7</v>
      </c>
      <c r="F1286">
        <v>3.1</v>
      </c>
      <c r="G1286">
        <v>73.7</v>
      </c>
      <c r="H1286">
        <v>7.9</v>
      </c>
    </row>
    <row r="1287" spans="1:8" x14ac:dyDescent="0.35">
      <c r="A1287">
        <v>1285</v>
      </c>
      <c r="B1287" t="s">
        <v>1855</v>
      </c>
      <c r="C1287" t="s">
        <v>1980</v>
      </c>
      <c r="D1287" t="s">
        <v>1981</v>
      </c>
      <c r="E1287">
        <v>16.8</v>
      </c>
      <c r="F1287">
        <v>8.6999999999999993</v>
      </c>
      <c r="G1287">
        <v>3.7</v>
      </c>
      <c r="H1287">
        <v>5.5</v>
      </c>
    </row>
    <row r="1288" spans="1:8" x14ac:dyDescent="0.35">
      <c r="A1288">
        <v>1286</v>
      </c>
      <c r="B1288" t="s">
        <v>1855</v>
      </c>
      <c r="C1288" t="s">
        <v>1982</v>
      </c>
      <c r="D1288" t="s">
        <v>313</v>
      </c>
      <c r="E1288">
        <v>5</v>
      </c>
      <c r="F1288" t="s">
        <v>303</v>
      </c>
      <c r="G1288">
        <v>10.199999999999999</v>
      </c>
      <c r="H1288">
        <v>8.4</v>
      </c>
    </row>
    <row r="1289" spans="1:8" x14ac:dyDescent="0.35">
      <c r="A1289">
        <v>1287</v>
      </c>
      <c r="B1289">
        <v>22.4</v>
      </c>
      <c r="C1289">
        <v>8.5</v>
      </c>
      <c r="D1289" t="s">
        <v>1855</v>
      </c>
      <c r="E1289">
        <v>2.9</v>
      </c>
      <c r="F1289">
        <v>6.1</v>
      </c>
      <c r="G1289">
        <v>39.299999999999997</v>
      </c>
      <c r="H1289">
        <v>8.4</v>
      </c>
    </row>
    <row r="1290" spans="1:8" x14ac:dyDescent="0.35">
      <c r="A1290">
        <v>1288</v>
      </c>
      <c r="B1290" t="s">
        <v>1855</v>
      </c>
      <c r="C1290" t="s">
        <v>1983</v>
      </c>
      <c r="D1290" t="s">
        <v>1984</v>
      </c>
      <c r="E1290">
        <v>7.3</v>
      </c>
      <c r="F1290">
        <v>7.3</v>
      </c>
      <c r="G1290">
        <v>17.2</v>
      </c>
      <c r="H1290">
        <v>4.0999999999999996</v>
      </c>
    </row>
    <row r="1291" spans="1:8" x14ac:dyDescent="0.35">
      <c r="A1291">
        <v>1289</v>
      </c>
      <c r="B1291" t="s">
        <v>1855</v>
      </c>
      <c r="C1291" t="s">
        <v>1985</v>
      </c>
      <c r="D1291" t="s">
        <v>53</v>
      </c>
      <c r="E1291">
        <v>14.3</v>
      </c>
      <c r="F1291">
        <v>6.9</v>
      </c>
      <c r="G1291">
        <v>9.1</v>
      </c>
      <c r="H1291">
        <v>21.1</v>
      </c>
    </row>
    <row r="1292" spans="1:8" x14ac:dyDescent="0.35">
      <c r="A1292">
        <v>1290</v>
      </c>
      <c r="B1292" t="s">
        <v>1855</v>
      </c>
      <c r="C1292" t="s">
        <v>1986</v>
      </c>
      <c r="D1292" t="s">
        <v>1987</v>
      </c>
      <c r="E1292">
        <v>17.399999999999999</v>
      </c>
      <c r="F1292">
        <v>4.5999999999999996</v>
      </c>
      <c r="G1292">
        <v>35</v>
      </c>
      <c r="H1292">
        <v>5.9</v>
      </c>
    </row>
    <row r="1293" spans="1:8" x14ac:dyDescent="0.35">
      <c r="A1293">
        <v>1291</v>
      </c>
      <c r="B1293" t="s">
        <v>1855</v>
      </c>
      <c r="C1293" t="s">
        <v>1988</v>
      </c>
      <c r="D1293" t="s">
        <v>1630</v>
      </c>
      <c r="E1293">
        <v>10.1</v>
      </c>
      <c r="F1293">
        <v>5.9</v>
      </c>
      <c r="G1293">
        <v>41.2</v>
      </c>
      <c r="H1293">
        <v>5.4</v>
      </c>
    </row>
    <row r="1294" spans="1:8" x14ac:dyDescent="0.35">
      <c r="A1294">
        <v>1292</v>
      </c>
      <c r="B1294" t="s">
        <v>1855</v>
      </c>
      <c r="C1294" t="s">
        <v>1989</v>
      </c>
      <c r="D1294" t="s">
        <v>1990</v>
      </c>
      <c r="E1294">
        <v>17.2</v>
      </c>
      <c r="F1294">
        <v>7.1</v>
      </c>
      <c r="G1294">
        <v>38.799999999999997</v>
      </c>
      <c r="H1294">
        <v>8.6999999999999993</v>
      </c>
    </row>
    <row r="1295" spans="1:8" x14ac:dyDescent="0.35">
      <c r="A1295">
        <v>1293</v>
      </c>
      <c r="B1295" t="s">
        <v>1855</v>
      </c>
      <c r="C1295" t="s">
        <v>1991</v>
      </c>
      <c r="D1295" t="s">
        <v>72</v>
      </c>
      <c r="E1295">
        <v>3.9</v>
      </c>
      <c r="F1295">
        <v>7</v>
      </c>
      <c r="G1295">
        <v>55.1</v>
      </c>
      <c r="H1295">
        <v>12.4</v>
      </c>
    </row>
    <row r="1296" spans="1:8" x14ac:dyDescent="0.35">
      <c r="A1296">
        <v>1294</v>
      </c>
      <c r="B1296" t="s">
        <v>1855</v>
      </c>
      <c r="C1296" t="s">
        <v>1992</v>
      </c>
      <c r="D1296" t="s">
        <v>1993</v>
      </c>
      <c r="E1296">
        <v>5.4</v>
      </c>
      <c r="F1296">
        <v>5.6</v>
      </c>
      <c r="G1296">
        <v>50.8</v>
      </c>
      <c r="H1296">
        <v>9.4</v>
      </c>
    </row>
    <row r="1297" spans="1:8" x14ac:dyDescent="0.35">
      <c r="A1297">
        <v>1295</v>
      </c>
      <c r="B1297" t="s">
        <v>1855</v>
      </c>
      <c r="C1297" t="s">
        <v>1994</v>
      </c>
      <c r="D1297" t="s">
        <v>72</v>
      </c>
      <c r="E1297">
        <v>1.5</v>
      </c>
      <c r="F1297">
        <v>8</v>
      </c>
      <c r="G1297">
        <v>79.900000000000006</v>
      </c>
      <c r="H1297">
        <v>11.9</v>
      </c>
    </row>
    <row r="1298" spans="1:8" x14ac:dyDescent="0.35">
      <c r="A1298">
        <v>1296</v>
      </c>
      <c r="B1298" t="s">
        <v>1855</v>
      </c>
      <c r="C1298" t="s">
        <v>1995</v>
      </c>
      <c r="D1298" t="s">
        <v>1996</v>
      </c>
      <c r="E1298">
        <v>7.7</v>
      </c>
      <c r="F1298">
        <v>9.3000000000000007</v>
      </c>
      <c r="G1298">
        <v>7.8</v>
      </c>
      <c r="H1298">
        <v>4.9000000000000004</v>
      </c>
    </row>
    <row r="1299" spans="1:8" x14ac:dyDescent="0.35">
      <c r="A1299">
        <v>1297</v>
      </c>
      <c r="B1299" t="s">
        <v>1855</v>
      </c>
      <c r="C1299" t="s">
        <v>1997</v>
      </c>
      <c r="D1299" t="s">
        <v>1900</v>
      </c>
      <c r="E1299">
        <v>11.4</v>
      </c>
      <c r="F1299">
        <v>6.7</v>
      </c>
      <c r="G1299">
        <v>4.5</v>
      </c>
      <c r="H1299">
        <v>10.5</v>
      </c>
    </row>
    <row r="1300" spans="1:8" x14ac:dyDescent="0.35">
      <c r="A1300">
        <v>1298</v>
      </c>
      <c r="B1300" t="s">
        <v>1855</v>
      </c>
      <c r="C1300" t="s">
        <v>1998</v>
      </c>
      <c r="D1300" t="s">
        <v>778</v>
      </c>
      <c r="E1300">
        <v>4</v>
      </c>
      <c r="F1300" t="s">
        <v>303</v>
      </c>
      <c r="G1300">
        <v>1.3</v>
      </c>
      <c r="H1300">
        <v>14.9</v>
      </c>
    </row>
    <row r="1301" spans="1:8" x14ac:dyDescent="0.35">
      <c r="A1301">
        <v>1299</v>
      </c>
      <c r="B1301">
        <v>27</v>
      </c>
      <c r="C1301">
        <v>18.3</v>
      </c>
      <c r="D1301" t="s">
        <v>1855</v>
      </c>
      <c r="E1301">
        <v>5</v>
      </c>
      <c r="F1301" t="s">
        <v>303</v>
      </c>
      <c r="G1301" t="s">
        <v>304</v>
      </c>
      <c r="H1301">
        <v>1.6</v>
      </c>
    </row>
    <row r="1302" spans="1:8" x14ac:dyDescent="0.35">
      <c r="A1302">
        <v>1300</v>
      </c>
      <c r="B1302">
        <v>12.6</v>
      </c>
      <c r="C1302">
        <v>11</v>
      </c>
      <c r="D1302">
        <v>25.6</v>
      </c>
      <c r="E1302">
        <v>8.9</v>
      </c>
      <c r="F1302">
        <v>6.2</v>
      </c>
      <c r="G1302">
        <v>45.7</v>
      </c>
      <c r="H1302">
        <v>6</v>
      </c>
    </row>
    <row r="1303" spans="1:8" x14ac:dyDescent="0.35">
      <c r="A1303">
        <v>1301</v>
      </c>
      <c r="B1303" t="s">
        <v>1855</v>
      </c>
      <c r="C1303" t="s">
        <v>1999</v>
      </c>
      <c r="D1303" t="s">
        <v>2000</v>
      </c>
      <c r="E1303">
        <v>2.1</v>
      </c>
      <c r="F1303">
        <v>11.9</v>
      </c>
      <c r="G1303">
        <v>22.2</v>
      </c>
      <c r="H1303">
        <v>25.4</v>
      </c>
    </row>
    <row r="1304" spans="1:8" x14ac:dyDescent="0.35">
      <c r="A1304">
        <v>1302</v>
      </c>
      <c r="B1304" t="s">
        <v>1855</v>
      </c>
      <c r="C1304" t="s">
        <v>2001</v>
      </c>
      <c r="D1304" t="s">
        <v>511</v>
      </c>
      <c r="E1304">
        <v>5</v>
      </c>
      <c r="F1304" t="s">
        <v>303</v>
      </c>
      <c r="G1304">
        <v>2.7</v>
      </c>
      <c r="H1304">
        <v>10.9</v>
      </c>
    </row>
    <row r="1305" spans="1:8" x14ac:dyDescent="0.35">
      <c r="A1305">
        <v>1303</v>
      </c>
      <c r="B1305">
        <v>19.2</v>
      </c>
      <c r="C1305">
        <v>13.6</v>
      </c>
      <c r="D1305" t="s">
        <v>1855</v>
      </c>
      <c r="E1305">
        <v>4.7</v>
      </c>
      <c r="F1305">
        <v>5.7</v>
      </c>
      <c r="G1305">
        <v>48.9</v>
      </c>
      <c r="H1305">
        <v>3.4</v>
      </c>
    </row>
    <row r="1306" spans="1:8" x14ac:dyDescent="0.35">
      <c r="A1306">
        <v>1304</v>
      </c>
      <c r="B1306" t="s">
        <v>1855</v>
      </c>
      <c r="C1306" t="s">
        <v>2002</v>
      </c>
      <c r="D1306" t="s">
        <v>2003</v>
      </c>
      <c r="E1306">
        <v>3.9</v>
      </c>
      <c r="F1306">
        <v>2.9</v>
      </c>
      <c r="G1306">
        <v>5.7</v>
      </c>
      <c r="H1306">
        <v>3.5</v>
      </c>
    </row>
    <row r="1307" spans="1:8" x14ac:dyDescent="0.35">
      <c r="A1307">
        <v>1305</v>
      </c>
      <c r="B1307" t="s">
        <v>1855</v>
      </c>
      <c r="C1307" t="s">
        <v>2004</v>
      </c>
      <c r="D1307" t="s">
        <v>39</v>
      </c>
      <c r="E1307">
        <v>9.1</v>
      </c>
      <c r="F1307">
        <v>3.5</v>
      </c>
      <c r="G1307">
        <v>6.9</v>
      </c>
      <c r="H1307">
        <v>5.9</v>
      </c>
    </row>
    <row r="1308" spans="1:8" x14ac:dyDescent="0.35">
      <c r="A1308">
        <v>1306</v>
      </c>
      <c r="B1308" t="s">
        <v>1855</v>
      </c>
      <c r="C1308" t="s">
        <v>2005</v>
      </c>
      <c r="D1308" t="s">
        <v>2006</v>
      </c>
      <c r="E1308">
        <v>13.3</v>
      </c>
      <c r="F1308">
        <v>10</v>
      </c>
      <c r="G1308">
        <v>8.1</v>
      </c>
      <c r="H1308">
        <v>7.8</v>
      </c>
    </row>
    <row r="1309" spans="1:8" x14ac:dyDescent="0.35">
      <c r="A1309">
        <v>1307</v>
      </c>
      <c r="B1309" t="s">
        <v>1855</v>
      </c>
      <c r="C1309" t="s">
        <v>2007</v>
      </c>
      <c r="D1309" t="s">
        <v>2008</v>
      </c>
      <c r="E1309">
        <v>8.6</v>
      </c>
      <c r="F1309">
        <v>4.8</v>
      </c>
      <c r="G1309">
        <v>68</v>
      </c>
      <c r="H1309">
        <v>5</v>
      </c>
    </row>
    <row r="1310" spans="1:8" x14ac:dyDescent="0.35">
      <c r="A1310">
        <v>1308</v>
      </c>
      <c r="B1310" t="s">
        <v>1855</v>
      </c>
      <c r="C1310" t="s">
        <v>2009</v>
      </c>
      <c r="D1310" t="s">
        <v>2010</v>
      </c>
      <c r="E1310">
        <v>9.3000000000000007</v>
      </c>
      <c r="F1310">
        <v>6.3</v>
      </c>
      <c r="G1310">
        <v>14</v>
      </c>
      <c r="H1310">
        <v>10.3</v>
      </c>
    </row>
    <row r="1311" spans="1:8" x14ac:dyDescent="0.35">
      <c r="A1311">
        <v>1309</v>
      </c>
      <c r="B1311" t="s">
        <v>1855</v>
      </c>
      <c r="C1311" t="s">
        <v>2011</v>
      </c>
      <c r="D1311" t="s">
        <v>1072</v>
      </c>
      <c r="E1311">
        <v>15.9</v>
      </c>
      <c r="F1311">
        <v>8.8000000000000007</v>
      </c>
      <c r="G1311">
        <v>5.3</v>
      </c>
      <c r="H1311">
        <v>8.9</v>
      </c>
    </row>
    <row r="1312" spans="1:8" x14ac:dyDescent="0.35">
      <c r="A1312">
        <v>1310</v>
      </c>
      <c r="B1312" t="s">
        <v>1855</v>
      </c>
      <c r="C1312" t="s">
        <v>2012</v>
      </c>
      <c r="D1312" t="s">
        <v>1808</v>
      </c>
      <c r="E1312">
        <v>5</v>
      </c>
      <c r="F1312" t="s">
        <v>303</v>
      </c>
      <c r="G1312" t="s">
        <v>304</v>
      </c>
      <c r="H1312">
        <v>6.8</v>
      </c>
    </row>
    <row r="1313" spans="1:8" x14ac:dyDescent="0.35">
      <c r="A1313">
        <v>1311</v>
      </c>
      <c r="B1313">
        <v>9</v>
      </c>
      <c r="C1313">
        <v>7.7</v>
      </c>
      <c r="D1313">
        <v>9.1999999999999993</v>
      </c>
      <c r="E1313">
        <v>1.8</v>
      </c>
      <c r="F1313">
        <v>4.5999999999999996</v>
      </c>
      <c r="G1313">
        <v>83.5</v>
      </c>
      <c r="H1313">
        <v>4.4000000000000004</v>
      </c>
    </row>
    <row r="1314" spans="1:8" x14ac:dyDescent="0.35">
      <c r="A1314">
        <v>1312</v>
      </c>
      <c r="B1314" t="s">
        <v>1855</v>
      </c>
      <c r="C1314" t="s">
        <v>2013</v>
      </c>
      <c r="D1314" t="s">
        <v>2014</v>
      </c>
      <c r="E1314">
        <v>2.5</v>
      </c>
      <c r="F1314">
        <v>22.1</v>
      </c>
      <c r="G1314">
        <v>2.7</v>
      </c>
      <c r="H1314">
        <v>11.5</v>
      </c>
    </row>
    <row r="1315" spans="1:8" x14ac:dyDescent="0.35">
      <c r="A1315">
        <v>1313</v>
      </c>
      <c r="B1315" t="s">
        <v>1855</v>
      </c>
      <c r="C1315" t="s">
        <v>2015</v>
      </c>
      <c r="D1315" t="s">
        <v>2016</v>
      </c>
      <c r="E1315">
        <v>3</v>
      </c>
      <c r="F1315" t="s">
        <v>303</v>
      </c>
      <c r="G1315">
        <v>1.9</v>
      </c>
      <c r="H1315">
        <v>22.5</v>
      </c>
    </row>
    <row r="1316" spans="1:8" x14ac:dyDescent="0.35">
      <c r="A1316">
        <v>1314</v>
      </c>
      <c r="B1316">
        <v>6.6</v>
      </c>
      <c r="C1316">
        <v>12.1</v>
      </c>
      <c r="D1316" t="s">
        <v>1855</v>
      </c>
      <c r="E1316">
        <v>1.6</v>
      </c>
      <c r="F1316">
        <v>3.2</v>
      </c>
      <c r="G1316">
        <v>100</v>
      </c>
      <c r="H1316">
        <v>5</v>
      </c>
    </row>
    <row r="1317" spans="1:8" x14ac:dyDescent="0.35">
      <c r="A1317">
        <v>1315</v>
      </c>
      <c r="B1317" t="s">
        <v>1855</v>
      </c>
      <c r="C1317" t="s">
        <v>2017</v>
      </c>
      <c r="D1317" t="s">
        <v>618</v>
      </c>
      <c r="E1317">
        <v>1.7</v>
      </c>
      <c r="F1317">
        <v>6.6</v>
      </c>
      <c r="G1317">
        <v>59</v>
      </c>
      <c r="H1317">
        <v>8.1</v>
      </c>
    </row>
    <row r="1318" spans="1:8" x14ac:dyDescent="0.35">
      <c r="A1318">
        <v>1316</v>
      </c>
      <c r="B1318" t="s">
        <v>1855</v>
      </c>
      <c r="C1318" t="s">
        <v>2018</v>
      </c>
      <c r="D1318" t="s">
        <v>2019</v>
      </c>
      <c r="E1318">
        <v>32.6</v>
      </c>
      <c r="F1318">
        <v>6.4</v>
      </c>
      <c r="G1318">
        <v>9.6999999999999993</v>
      </c>
      <c r="H1318">
        <v>2.7</v>
      </c>
    </row>
    <row r="1319" spans="1:8" x14ac:dyDescent="0.35">
      <c r="A1319">
        <v>1317</v>
      </c>
      <c r="B1319" t="s">
        <v>1855</v>
      </c>
      <c r="C1319" t="s">
        <v>2020</v>
      </c>
      <c r="D1319" t="s">
        <v>2021</v>
      </c>
      <c r="E1319">
        <v>12.5</v>
      </c>
      <c r="F1319">
        <v>9.4</v>
      </c>
      <c r="G1319">
        <v>13.9</v>
      </c>
      <c r="H1319">
        <v>3.2</v>
      </c>
    </row>
    <row r="1320" spans="1:8" x14ac:dyDescent="0.35">
      <c r="A1320">
        <v>1318</v>
      </c>
      <c r="B1320" t="s">
        <v>1855</v>
      </c>
      <c r="C1320" t="s">
        <v>2022</v>
      </c>
      <c r="D1320" t="s">
        <v>2023</v>
      </c>
      <c r="E1320">
        <v>19</v>
      </c>
      <c r="F1320">
        <v>13</v>
      </c>
      <c r="G1320">
        <v>6</v>
      </c>
      <c r="H1320">
        <v>6.6</v>
      </c>
    </row>
    <row r="1321" spans="1:8" x14ac:dyDescent="0.35">
      <c r="A1321">
        <v>1319</v>
      </c>
      <c r="B1321" t="s">
        <v>1855</v>
      </c>
      <c r="C1321" t="s">
        <v>2024</v>
      </c>
      <c r="D1321" t="s">
        <v>1279</v>
      </c>
      <c r="E1321">
        <v>2.6</v>
      </c>
      <c r="F1321">
        <v>17.7</v>
      </c>
      <c r="G1321">
        <v>23.4</v>
      </c>
      <c r="H1321">
        <v>9.9</v>
      </c>
    </row>
    <row r="1322" spans="1:8" x14ac:dyDescent="0.35">
      <c r="A1322">
        <v>1320</v>
      </c>
      <c r="B1322" t="s">
        <v>1855</v>
      </c>
      <c r="C1322" t="s">
        <v>2025</v>
      </c>
      <c r="D1322" t="s">
        <v>618</v>
      </c>
      <c r="E1322">
        <v>1.7</v>
      </c>
      <c r="F1322">
        <v>16.600000000000001</v>
      </c>
      <c r="G1322">
        <v>7.3</v>
      </c>
      <c r="H1322">
        <v>26.9</v>
      </c>
    </row>
    <row r="1323" spans="1:8" x14ac:dyDescent="0.35">
      <c r="A1323">
        <v>1321</v>
      </c>
      <c r="B1323" t="s">
        <v>1855</v>
      </c>
      <c r="C1323" t="s">
        <v>2026</v>
      </c>
      <c r="D1323" t="s">
        <v>2027</v>
      </c>
      <c r="E1323">
        <v>1.5</v>
      </c>
      <c r="F1323">
        <v>18.3</v>
      </c>
      <c r="G1323">
        <v>21.7</v>
      </c>
      <c r="H1323">
        <v>12.4</v>
      </c>
    </row>
    <row r="1324" spans="1:8" x14ac:dyDescent="0.35">
      <c r="A1324">
        <v>1322</v>
      </c>
      <c r="B1324" t="s">
        <v>1855</v>
      </c>
      <c r="C1324" t="s">
        <v>2028</v>
      </c>
      <c r="D1324" t="s">
        <v>2029</v>
      </c>
      <c r="E1324">
        <v>4</v>
      </c>
      <c r="F1324" t="s">
        <v>303</v>
      </c>
      <c r="G1324">
        <v>2</v>
      </c>
      <c r="H1324">
        <v>18.7</v>
      </c>
    </row>
    <row r="1325" spans="1:8" x14ac:dyDescent="0.35">
      <c r="A1325">
        <v>1323</v>
      </c>
      <c r="B1325">
        <v>7.8</v>
      </c>
      <c r="C1325">
        <v>14.8</v>
      </c>
      <c r="D1325" t="s">
        <v>1855</v>
      </c>
      <c r="E1325">
        <v>12.3</v>
      </c>
      <c r="F1325">
        <v>14.2</v>
      </c>
      <c r="G1325">
        <v>8</v>
      </c>
      <c r="H1325">
        <v>8</v>
      </c>
    </row>
    <row r="1326" spans="1:8" x14ac:dyDescent="0.35">
      <c r="A1326">
        <v>1324</v>
      </c>
      <c r="B1326" t="s">
        <v>1855</v>
      </c>
      <c r="C1326" t="s">
        <v>2030</v>
      </c>
      <c r="D1326" t="s">
        <v>222</v>
      </c>
      <c r="E1326">
        <v>3.4</v>
      </c>
      <c r="F1326">
        <v>14.1</v>
      </c>
      <c r="G1326">
        <v>16.399999999999999</v>
      </c>
      <c r="H1326">
        <v>17.8</v>
      </c>
    </row>
    <row r="1327" spans="1:8" x14ac:dyDescent="0.35">
      <c r="A1327">
        <v>1325</v>
      </c>
      <c r="B1327" t="s">
        <v>1855</v>
      </c>
      <c r="C1327" t="s">
        <v>2031</v>
      </c>
      <c r="D1327" t="s">
        <v>2032</v>
      </c>
      <c r="E1327">
        <v>6.4</v>
      </c>
      <c r="F1327">
        <v>12.9</v>
      </c>
      <c r="G1327">
        <v>10.9</v>
      </c>
      <c r="H1327">
        <v>12.9</v>
      </c>
    </row>
    <row r="1328" spans="1:8" x14ac:dyDescent="0.35">
      <c r="A1328">
        <v>1326</v>
      </c>
      <c r="B1328" t="s">
        <v>1855</v>
      </c>
      <c r="C1328" t="s">
        <v>2033</v>
      </c>
      <c r="D1328" t="s">
        <v>2034</v>
      </c>
      <c r="E1328">
        <v>2.5</v>
      </c>
      <c r="F1328">
        <v>24.4</v>
      </c>
      <c r="G1328">
        <v>10.6</v>
      </c>
      <c r="H1328">
        <v>10.5</v>
      </c>
    </row>
    <row r="1329" spans="1:8" x14ac:dyDescent="0.35">
      <c r="A1329">
        <v>1327</v>
      </c>
      <c r="B1329" t="s">
        <v>1855</v>
      </c>
      <c r="C1329" t="s">
        <v>2035</v>
      </c>
      <c r="D1329" t="s">
        <v>2036</v>
      </c>
      <c r="E1329">
        <v>1.4</v>
      </c>
      <c r="F1329">
        <v>8.6</v>
      </c>
      <c r="G1329">
        <v>61.5</v>
      </c>
      <c r="H1329">
        <v>12.8</v>
      </c>
    </row>
    <row r="1330" spans="1:8" x14ac:dyDescent="0.35">
      <c r="A1330">
        <v>1328</v>
      </c>
      <c r="B1330" t="s">
        <v>1855</v>
      </c>
      <c r="C1330" t="s">
        <v>2037</v>
      </c>
      <c r="D1330" t="s">
        <v>222</v>
      </c>
      <c r="E1330">
        <v>4.5</v>
      </c>
      <c r="F1330">
        <v>17.7</v>
      </c>
      <c r="G1330">
        <v>9.1</v>
      </c>
      <c r="H1330">
        <v>18.399999999999999</v>
      </c>
    </row>
    <row r="1331" spans="1:8" x14ac:dyDescent="0.35">
      <c r="A1331">
        <v>1329</v>
      </c>
      <c r="B1331" t="s">
        <v>1855</v>
      </c>
      <c r="C1331" t="s">
        <v>2038</v>
      </c>
      <c r="D1331" t="s">
        <v>2034</v>
      </c>
      <c r="E1331">
        <v>2.5</v>
      </c>
      <c r="F1331">
        <v>8.1</v>
      </c>
      <c r="G1331">
        <v>77</v>
      </c>
      <c r="H1331">
        <v>11.3</v>
      </c>
    </row>
    <row r="1332" spans="1:8" x14ac:dyDescent="0.35">
      <c r="A1332">
        <v>1330</v>
      </c>
      <c r="B1332" t="s">
        <v>1855</v>
      </c>
      <c r="C1332" t="s">
        <v>2039</v>
      </c>
      <c r="D1332" t="s">
        <v>2040</v>
      </c>
      <c r="E1332">
        <v>16.3</v>
      </c>
      <c r="F1332">
        <v>5</v>
      </c>
      <c r="G1332">
        <v>12.5</v>
      </c>
      <c r="H1332">
        <v>3.5</v>
      </c>
    </row>
    <row r="1333" spans="1:8" x14ac:dyDescent="0.35">
      <c r="A1333">
        <v>1331</v>
      </c>
      <c r="B1333" t="s">
        <v>1855</v>
      </c>
      <c r="C1333" t="s">
        <v>2041</v>
      </c>
      <c r="D1333" t="s">
        <v>2042</v>
      </c>
      <c r="E1333">
        <v>1.2</v>
      </c>
      <c r="F1333">
        <v>9.5</v>
      </c>
      <c r="G1333">
        <v>39.4</v>
      </c>
      <c r="H1333">
        <v>2.6</v>
      </c>
    </row>
    <row r="1334" spans="1:8" x14ac:dyDescent="0.35">
      <c r="A1334">
        <v>1332</v>
      </c>
      <c r="B1334" t="s">
        <v>1855</v>
      </c>
      <c r="C1334" t="s">
        <v>2043</v>
      </c>
      <c r="D1334" t="s">
        <v>2044</v>
      </c>
      <c r="E1334">
        <v>2.8</v>
      </c>
      <c r="F1334">
        <v>16.2</v>
      </c>
      <c r="G1334">
        <v>18</v>
      </c>
      <c r="H1334">
        <v>8.1999999999999993</v>
      </c>
    </row>
    <row r="1335" spans="1:8" x14ac:dyDescent="0.35">
      <c r="A1335">
        <v>1333</v>
      </c>
      <c r="B1335" t="s">
        <v>1855</v>
      </c>
      <c r="C1335" t="s">
        <v>2045</v>
      </c>
      <c r="D1335" t="s">
        <v>2046</v>
      </c>
      <c r="E1335">
        <v>1.8</v>
      </c>
      <c r="F1335">
        <v>15.1</v>
      </c>
      <c r="G1335">
        <v>18.8</v>
      </c>
      <c r="H1335">
        <v>19.600000000000001</v>
      </c>
    </row>
    <row r="1336" spans="1:8" x14ac:dyDescent="0.35">
      <c r="A1336">
        <v>1334</v>
      </c>
      <c r="B1336" t="s">
        <v>1855</v>
      </c>
      <c r="C1336" t="s">
        <v>2047</v>
      </c>
      <c r="D1336" t="s">
        <v>819</v>
      </c>
      <c r="E1336">
        <v>18.899999999999999</v>
      </c>
      <c r="F1336">
        <v>8</v>
      </c>
      <c r="G1336">
        <v>11.4</v>
      </c>
      <c r="H1336">
        <v>4</v>
      </c>
    </row>
    <row r="1337" spans="1:8" x14ac:dyDescent="0.35">
      <c r="A1337">
        <v>1335</v>
      </c>
      <c r="B1337" t="s">
        <v>1855</v>
      </c>
      <c r="C1337" t="s">
        <v>2048</v>
      </c>
      <c r="D1337" t="s">
        <v>2049</v>
      </c>
      <c r="E1337">
        <v>12</v>
      </c>
      <c r="F1337">
        <v>9.3000000000000007</v>
      </c>
      <c r="G1337">
        <v>27.6</v>
      </c>
      <c r="H1337">
        <v>6</v>
      </c>
    </row>
    <row r="1338" spans="1:8" x14ac:dyDescent="0.35">
      <c r="A1338">
        <v>1336</v>
      </c>
      <c r="B1338" t="s">
        <v>1855</v>
      </c>
      <c r="C1338" t="s">
        <v>2050</v>
      </c>
      <c r="D1338" t="s">
        <v>635</v>
      </c>
      <c r="E1338">
        <v>4.0999999999999996</v>
      </c>
      <c r="F1338">
        <v>13</v>
      </c>
      <c r="G1338">
        <v>20.8</v>
      </c>
      <c r="H1338">
        <v>4.4000000000000004</v>
      </c>
    </row>
    <row r="1339" spans="1:8" x14ac:dyDescent="0.35">
      <c r="A1339">
        <v>1337</v>
      </c>
      <c r="B1339" t="s">
        <v>1855</v>
      </c>
      <c r="C1339" t="s">
        <v>2051</v>
      </c>
      <c r="D1339" t="s">
        <v>2052</v>
      </c>
      <c r="E1339">
        <v>5.3</v>
      </c>
      <c r="F1339">
        <v>14.1</v>
      </c>
      <c r="G1339">
        <v>10.4</v>
      </c>
      <c r="H1339">
        <v>3.9</v>
      </c>
    </row>
    <row r="1340" spans="1:8" x14ac:dyDescent="0.35">
      <c r="A1340">
        <v>1338</v>
      </c>
      <c r="B1340" t="s">
        <v>1855</v>
      </c>
      <c r="C1340" t="s">
        <v>2053</v>
      </c>
      <c r="D1340" t="s">
        <v>2054</v>
      </c>
      <c r="E1340">
        <v>6.4</v>
      </c>
      <c r="F1340">
        <v>16.100000000000001</v>
      </c>
      <c r="G1340">
        <v>14.7</v>
      </c>
      <c r="H1340">
        <v>4</v>
      </c>
    </row>
    <row r="1341" spans="1:8" x14ac:dyDescent="0.35">
      <c r="A1341">
        <v>1339</v>
      </c>
      <c r="B1341" t="s">
        <v>1855</v>
      </c>
      <c r="C1341" t="s">
        <v>2055</v>
      </c>
      <c r="D1341" t="s">
        <v>2056</v>
      </c>
      <c r="E1341">
        <v>5.5</v>
      </c>
      <c r="F1341">
        <v>11.8</v>
      </c>
      <c r="G1341">
        <v>19.100000000000001</v>
      </c>
      <c r="H1341">
        <v>2.7</v>
      </c>
    </row>
    <row r="1342" spans="1:8" x14ac:dyDescent="0.35">
      <c r="A1342">
        <v>1340</v>
      </c>
      <c r="B1342" t="s">
        <v>1855</v>
      </c>
      <c r="C1342" t="s">
        <v>2057</v>
      </c>
      <c r="D1342" t="s">
        <v>2058</v>
      </c>
      <c r="E1342">
        <v>39.1</v>
      </c>
      <c r="F1342">
        <v>5.7</v>
      </c>
      <c r="G1342">
        <v>13.7</v>
      </c>
      <c r="H1342">
        <v>2</v>
      </c>
    </row>
    <row r="1343" spans="1:8" x14ac:dyDescent="0.35">
      <c r="A1343">
        <v>1341</v>
      </c>
      <c r="B1343" t="s">
        <v>1855</v>
      </c>
      <c r="C1343" t="s">
        <v>2059</v>
      </c>
      <c r="D1343" t="s">
        <v>2060</v>
      </c>
      <c r="E1343">
        <v>27</v>
      </c>
      <c r="F1343">
        <v>5.3</v>
      </c>
      <c r="G1343">
        <v>8.1</v>
      </c>
      <c r="H1343">
        <v>2.1</v>
      </c>
    </row>
    <row r="1344" spans="1:8" x14ac:dyDescent="0.35">
      <c r="A1344">
        <v>1342</v>
      </c>
      <c r="B1344" t="s">
        <v>1855</v>
      </c>
      <c r="C1344" t="s">
        <v>2061</v>
      </c>
      <c r="D1344" t="s">
        <v>373</v>
      </c>
      <c r="E1344">
        <v>2.2999999999999998</v>
      </c>
      <c r="F1344">
        <v>13.4</v>
      </c>
      <c r="G1344">
        <v>4.8</v>
      </c>
      <c r="H1344">
        <v>7</v>
      </c>
    </row>
    <row r="1345" spans="1:8" x14ac:dyDescent="0.35">
      <c r="A1345">
        <v>1343</v>
      </c>
      <c r="B1345" t="s">
        <v>1855</v>
      </c>
      <c r="C1345" t="s">
        <v>2062</v>
      </c>
      <c r="D1345" t="s">
        <v>2063</v>
      </c>
      <c r="E1345">
        <v>12.1</v>
      </c>
      <c r="F1345">
        <v>7.9</v>
      </c>
      <c r="G1345">
        <v>40.4</v>
      </c>
      <c r="H1345">
        <v>3.2</v>
      </c>
    </row>
    <row r="1346" spans="1:8" x14ac:dyDescent="0.35">
      <c r="A1346">
        <v>1344</v>
      </c>
      <c r="B1346" t="s">
        <v>1855</v>
      </c>
      <c r="C1346" t="s">
        <v>2064</v>
      </c>
      <c r="D1346" t="s">
        <v>2065</v>
      </c>
      <c r="E1346">
        <v>7.8</v>
      </c>
      <c r="F1346">
        <v>7.9</v>
      </c>
      <c r="G1346">
        <v>17.8</v>
      </c>
      <c r="H1346">
        <v>4.9000000000000004</v>
      </c>
    </row>
    <row r="1347" spans="1:8" x14ac:dyDescent="0.35">
      <c r="A1347">
        <v>1345</v>
      </c>
      <c r="B1347" t="s">
        <v>1855</v>
      </c>
      <c r="C1347" t="s">
        <v>2066</v>
      </c>
      <c r="D1347" t="s">
        <v>2067</v>
      </c>
      <c r="E1347">
        <v>4.0999999999999996</v>
      </c>
      <c r="F1347">
        <v>6.5</v>
      </c>
      <c r="G1347">
        <v>66.400000000000006</v>
      </c>
      <c r="H1347">
        <v>5.3</v>
      </c>
    </row>
    <row r="1348" spans="1:8" x14ac:dyDescent="0.35">
      <c r="A1348">
        <v>1346</v>
      </c>
      <c r="B1348" t="s">
        <v>1855</v>
      </c>
      <c r="C1348" t="s">
        <v>2068</v>
      </c>
      <c r="D1348" t="s">
        <v>2069</v>
      </c>
      <c r="E1348">
        <v>9.3000000000000007</v>
      </c>
      <c r="F1348">
        <v>6</v>
      </c>
      <c r="G1348">
        <v>16.5</v>
      </c>
      <c r="H1348">
        <v>2.6</v>
      </c>
    </row>
    <row r="1349" spans="1:8" x14ac:dyDescent="0.35">
      <c r="A1349">
        <v>1347</v>
      </c>
      <c r="B1349" t="s">
        <v>1855</v>
      </c>
      <c r="C1349" t="s">
        <v>2070</v>
      </c>
      <c r="D1349" t="s">
        <v>2071</v>
      </c>
      <c r="E1349">
        <v>5.5</v>
      </c>
      <c r="F1349">
        <v>12.5</v>
      </c>
      <c r="G1349">
        <v>6.9</v>
      </c>
      <c r="H1349">
        <v>11.6</v>
      </c>
    </row>
    <row r="1350" spans="1:8" x14ac:dyDescent="0.35">
      <c r="A1350">
        <v>1348</v>
      </c>
      <c r="B1350" t="s">
        <v>1855</v>
      </c>
      <c r="C1350" t="s">
        <v>2072</v>
      </c>
      <c r="D1350" t="s">
        <v>2073</v>
      </c>
      <c r="E1350">
        <v>24.1</v>
      </c>
      <c r="F1350">
        <v>7.9</v>
      </c>
      <c r="G1350">
        <v>4.3</v>
      </c>
      <c r="H1350">
        <v>2.2000000000000002</v>
      </c>
    </row>
    <row r="1351" spans="1:8" x14ac:dyDescent="0.35">
      <c r="A1351">
        <v>1349</v>
      </c>
      <c r="B1351" t="s">
        <v>1855</v>
      </c>
      <c r="C1351" t="s">
        <v>2074</v>
      </c>
      <c r="D1351" t="s">
        <v>2075</v>
      </c>
      <c r="E1351">
        <v>11.7</v>
      </c>
      <c r="F1351">
        <v>9.5</v>
      </c>
      <c r="G1351">
        <v>6.8</v>
      </c>
      <c r="H1351">
        <v>5.4</v>
      </c>
    </row>
    <row r="1352" spans="1:8" x14ac:dyDescent="0.35">
      <c r="A1352">
        <v>1350</v>
      </c>
      <c r="B1352" t="s">
        <v>1855</v>
      </c>
      <c r="C1352" t="s">
        <v>2076</v>
      </c>
      <c r="D1352" t="s">
        <v>2077</v>
      </c>
      <c r="E1352">
        <v>7.3</v>
      </c>
      <c r="F1352">
        <v>11.4</v>
      </c>
      <c r="G1352">
        <v>6.2</v>
      </c>
      <c r="H1352">
        <v>1.9</v>
      </c>
    </row>
    <row r="1353" spans="1:8" x14ac:dyDescent="0.35">
      <c r="A1353">
        <v>1351</v>
      </c>
      <c r="B1353" t="s">
        <v>1855</v>
      </c>
      <c r="C1353" t="s">
        <v>2078</v>
      </c>
      <c r="D1353" t="s">
        <v>2079</v>
      </c>
      <c r="E1353">
        <v>2.9</v>
      </c>
      <c r="F1353">
        <v>7.4</v>
      </c>
      <c r="G1353">
        <v>46.9</v>
      </c>
      <c r="H1353">
        <v>3.6</v>
      </c>
    </row>
    <row r="1354" spans="1:8" x14ac:dyDescent="0.35">
      <c r="A1354">
        <v>1352</v>
      </c>
      <c r="B1354" t="s">
        <v>1855</v>
      </c>
      <c r="C1354" t="s">
        <v>2080</v>
      </c>
      <c r="D1354" t="s">
        <v>66</v>
      </c>
      <c r="E1354">
        <v>3.8</v>
      </c>
      <c r="F1354">
        <v>14.4</v>
      </c>
      <c r="G1354">
        <v>4.5999999999999996</v>
      </c>
      <c r="H1354">
        <v>5.7</v>
      </c>
    </row>
    <row r="1355" spans="1:8" x14ac:dyDescent="0.35">
      <c r="A1355">
        <v>1353</v>
      </c>
      <c r="B1355" t="s">
        <v>1855</v>
      </c>
      <c r="C1355" t="s">
        <v>2081</v>
      </c>
      <c r="D1355" t="s">
        <v>2082</v>
      </c>
      <c r="E1355">
        <v>15.5</v>
      </c>
      <c r="F1355">
        <v>5.3</v>
      </c>
      <c r="G1355">
        <v>5.2</v>
      </c>
      <c r="H1355">
        <v>4.7</v>
      </c>
    </row>
    <row r="1356" spans="1:8" x14ac:dyDescent="0.35">
      <c r="A1356">
        <v>1354</v>
      </c>
      <c r="B1356" t="s">
        <v>1855</v>
      </c>
      <c r="C1356" t="s">
        <v>2083</v>
      </c>
      <c r="D1356" t="s">
        <v>1068</v>
      </c>
      <c r="E1356">
        <v>6</v>
      </c>
      <c r="F1356">
        <v>12.5</v>
      </c>
      <c r="G1356">
        <v>3.6</v>
      </c>
      <c r="H1356">
        <v>3.9</v>
      </c>
    </row>
    <row r="1357" spans="1:8" x14ac:dyDescent="0.35">
      <c r="A1357">
        <v>1355</v>
      </c>
      <c r="B1357" t="s">
        <v>1855</v>
      </c>
      <c r="C1357" t="s">
        <v>2084</v>
      </c>
      <c r="D1357" t="s">
        <v>2085</v>
      </c>
      <c r="E1357">
        <v>9.8000000000000007</v>
      </c>
      <c r="F1357">
        <v>10.199999999999999</v>
      </c>
      <c r="G1357">
        <v>19.2</v>
      </c>
      <c r="H1357">
        <v>10.8</v>
      </c>
    </row>
    <row r="1358" spans="1:8" x14ac:dyDescent="0.35">
      <c r="A1358">
        <v>1356</v>
      </c>
      <c r="B1358" t="s">
        <v>1855</v>
      </c>
      <c r="C1358" t="s">
        <v>2086</v>
      </c>
      <c r="D1358" t="s">
        <v>2087</v>
      </c>
      <c r="E1358">
        <v>3</v>
      </c>
      <c r="F1358">
        <v>20.100000000000001</v>
      </c>
      <c r="G1358">
        <v>25.5</v>
      </c>
      <c r="H1358">
        <v>15.9</v>
      </c>
    </row>
    <row r="1359" spans="1:8" x14ac:dyDescent="0.35">
      <c r="A1359">
        <v>1357</v>
      </c>
      <c r="B1359" t="s">
        <v>1855</v>
      </c>
      <c r="C1359" t="s">
        <v>2088</v>
      </c>
      <c r="D1359" t="s">
        <v>2089</v>
      </c>
      <c r="E1359">
        <v>15.8</v>
      </c>
      <c r="F1359">
        <v>7.1</v>
      </c>
      <c r="G1359">
        <v>6.4</v>
      </c>
      <c r="H1359">
        <v>6.7</v>
      </c>
    </row>
    <row r="1360" spans="1:8" x14ac:dyDescent="0.35">
      <c r="A1360">
        <v>1358</v>
      </c>
      <c r="B1360" t="s">
        <v>1855</v>
      </c>
      <c r="C1360" t="s">
        <v>2090</v>
      </c>
      <c r="D1360" t="s">
        <v>2091</v>
      </c>
      <c r="E1360">
        <v>13</v>
      </c>
      <c r="F1360">
        <v>11.4</v>
      </c>
      <c r="G1360">
        <v>14.1</v>
      </c>
      <c r="H1360">
        <v>2.4</v>
      </c>
    </row>
    <row r="1361" spans="1:8" x14ac:dyDescent="0.35">
      <c r="A1361">
        <v>1359</v>
      </c>
      <c r="B1361" t="s">
        <v>1855</v>
      </c>
      <c r="C1361" t="s">
        <v>2092</v>
      </c>
      <c r="D1361" t="s">
        <v>2093</v>
      </c>
      <c r="E1361">
        <v>2.7</v>
      </c>
      <c r="F1361">
        <v>5.7</v>
      </c>
      <c r="G1361">
        <v>8.9</v>
      </c>
      <c r="H1361">
        <v>12.7</v>
      </c>
    </row>
    <row r="1362" spans="1:8" x14ac:dyDescent="0.35">
      <c r="A1362">
        <v>1360</v>
      </c>
      <c r="B1362" t="s">
        <v>1855</v>
      </c>
      <c r="C1362" t="s">
        <v>2094</v>
      </c>
      <c r="D1362" t="s">
        <v>2095</v>
      </c>
      <c r="E1362">
        <v>10.9</v>
      </c>
      <c r="F1362">
        <v>4.5999999999999996</v>
      </c>
      <c r="G1362">
        <v>13</v>
      </c>
      <c r="H1362">
        <v>6.9</v>
      </c>
    </row>
    <row r="1363" spans="1:8" x14ac:dyDescent="0.35">
      <c r="A1363">
        <v>1361</v>
      </c>
      <c r="B1363" t="s">
        <v>1855</v>
      </c>
      <c r="C1363" t="s">
        <v>2096</v>
      </c>
      <c r="D1363" t="s">
        <v>2097</v>
      </c>
      <c r="E1363">
        <v>19</v>
      </c>
      <c r="F1363">
        <v>7.2</v>
      </c>
      <c r="G1363">
        <v>13.5</v>
      </c>
      <c r="H1363">
        <v>2.2999999999999998</v>
      </c>
    </row>
    <row r="1364" spans="1:8" x14ac:dyDescent="0.35">
      <c r="A1364">
        <v>1362</v>
      </c>
      <c r="B1364" t="s">
        <v>1855</v>
      </c>
      <c r="C1364" t="s">
        <v>2098</v>
      </c>
      <c r="D1364" t="s">
        <v>2099</v>
      </c>
      <c r="E1364">
        <v>16.899999999999999</v>
      </c>
      <c r="F1364">
        <v>4.5999999999999996</v>
      </c>
      <c r="G1364">
        <v>19.5</v>
      </c>
      <c r="H1364">
        <v>8.8000000000000007</v>
      </c>
    </row>
    <row r="1365" spans="1:8" x14ac:dyDescent="0.35">
      <c r="A1365">
        <v>1363</v>
      </c>
      <c r="B1365" t="s">
        <v>1855</v>
      </c>
      <c r="C1365" t="s">
        <v>2100</v>
      </c>
      <c r="D1365" t="s">
        <v>2101</v>
      </c>
      <c r="E1365">
        <v>28.8</v>
      </c>
      <c r="F1365">
        <v>3.3</v>
      </c>
      <c r="G1365">
        <v>12.1</v>
      </c>
      <c r="H1365">
        <v>4.5999999999999996</v>
      </c>
    </row>
    <row r="1366" spans="1:8" x14ac:dyDescent="0.35">
      <c r="A1366">
        <v>1364</v>
      </c>
      <c r="B1366" t="s">
        <v>1855</v>
      </c>
      <c r="C1366" t="s">
        <v>2102</v>
      </c>
      <c r="D1366" t="s">
        <v>2103</v>
      </c>
      <c r="E1366">
        <v>25.4</v>
      </c>
      <c r="F1366">
        <v>9.5</v>
      </c>
      <c r="G1366">
        <v>3.1</v>
      </c>
      <c r="H1366">
        <v>6.2</v>
      </c>
    </row>
    <row r="1367" spans="1:8" x14ac:dyDescent="0.35">
      <c r="A1367">
        <v>1365</v>
      </c>
      <c r="B1367" t="s">
        <v>1855</v>
      </c>
      <c r="C1367" t="s">
        <v>2104</v>
      </c>
      <c r="D1367" t="s">
        <v>1042</v>
      </c>
      <c r="E1367">
        <v>28.1</v>
      </c>
      <c r="F1367">
        <v>7.7</v>
      </c>
      <c r="G1367">
        <v>4.2</v>
      </c>
      <c r="H1367">
        <v>6</v>
      </c>
    </row>
    <row r="1368" spans="1:8" x14ac:dyDescent="0.35">
      <c r="A1368">
        <v>1366</v>
      </c>
      <c r="B1368" t="s">
        <v>1855</v>
      </c>
      <c r="C1368" t="s">
        <v>2105</v>
      </c>
      <c r="D1368" t="s">
        <v>1545</v>
      </c>
      <c r="E1368">
        <v>10</v>
      </c>
      <c r="F1368">
        <v>11.7</v>
      </c>
      <c r="G1368">
        <v>1.8</v>
      </c>
      <c r="H1368">
        <v>18.7</v>
      </c>
    </row>
    <row r="1369" spans="1:8" x14ac:dyDescent="0.35">
      <c r="A1369">
        <v>1367</v>
      </c>
      <c r="B1369" t="s">
        <v>1855</v>
      </c>
      <c r="C1369" t="s">
        <v>2106</v>
      </c>
      <c r="D1369" t="s">
        <v>2107</v>
      </c>
      <c r="E1369">
        <v>3.9</v>
      </c>
      <c r="F1369">
        <v>6.7</v>
      </c>
      <c r="G1369">
        <v>6.3</v>
      </c>
      <c r="H1369">
        <v>12.7</v>
      </c>
    </row>
    <row r="1370" spans="1:8" x14ac:dyDescent="0.35">
      <c r="A1370">
        <v>1368</v>
      </c>
      <c r="B1370" t="s">
        <v>1855</v>
      </c>
      <c r="C1370" t="s">
        <v>2108</v>
      </c>
      <c r="D1370" t="s">
        <v>991</v>
      </c>
      <c r="E1370">
        <v>10.199999999999999</v>
      </c>
      <c r="F1370">
        <v>6.8</v>
      </c>
      <c r="G1370">
        <v>18.3</v>
      </c>
      <c r="H1370">
        <v>14.2</v>
      </c>
    </row>
    <row r="1371" spans="1:8" x14ac:dyDescent="0.35">
      <c r="A1371">
        <v>1369</v>
      </c>
      <c r="B1371" t="s">
        <v>1855</v>
      </c>
      <c r="C1371" t="s">
        <v>2109</v>
      </c>
      <c r="D1371" t="s">
        <v>2110</v>
      </c>
      <c r="E1371">
        <v>11.9</v>
      </c>
      <c r="F1371">
        <v>4.5</v>
      </c>
      <c r="G1371">
        <v>19.7</v>
      </c>
      <c r="H1371">
        <v>3.6</v>
      </c>
    </row>
    <row r="1372" spans="1:8" x14ac:dyDescent="0.35">
      <c r="A1372">
        <v>1370</v>
      </c>
      <c r="B1372" t="s">
        <v>1855</v>
      </c>
      <c r="C1372" t="s">
        <v>2111</v>
      </c>
      <c r="D1372" t="s">
        <v>2112</v>
      </c>
      <c r="E1372">
        <v>19</v>
      </c>
      <c r="F1372">
        <v>5</v>
      </c>
      <c r="G1372">
        <v>23.9</v>
      </c>
      <c r="H1372">
        <v>10.7</v>
      </c>
    </row>
    <row r="1373" spans="1:8" x14ac:dyDescent="0.35">
      <c r="A1373">
        <v>1371</v>
      </c>
      <c r="B1373" t="s">
        <v>1855</v>
      </c>
      <c r="C1373" t="s">
        <v>2113</v>
      </c>
      <c r="D1373" t="s">
        <v>2114</v>
      </c>
      <c r="E1373">
        <v>27.4</v>
      </c>
      <c r="F1373">
        <v>7</v>
      </c>
      <c r="G1373">
        <v>21.9</v>
      </c>
      <c r="H1373">
        <v>3.2</v>
      </c>
    </row>
    <row r="1374" spans="1:8" x14ac:dyDescent="0.35">
      <c r="A1374">
        <v>1372</v>
      </c>
      <c r="B1374" t="s">
        <v>1855</v>
      </c>
      <c r="C1374" t="s">
        <v>2115</v>
      </c>
      <c r="D1374" t="s">
        <v>2116</v>
      </c>
      <c r="E1374">
        <v>11.8</v>
      </c>
      <c r="F1374">
        <v>6.1</v>
      </c>
      <c r="G1374">
        <v>11.2</v>
      </c>
      <c r="H1374">
        <v>17.7</v>
      </c>
    </row>
    <row r="1375" spans="1:8" x14ac:dyDescent="0.35">
      <c r="A1375">
        <v>1373</v>
      </c>
      <c r="B1375" t="s">
        <v>1855</v>
      </c>
      <c r="C1375" t="s">
        <v>2117</v>
      </c>
      <c r="D1375" t="s">
        <v>2118</v>
      </c>
      <c r="E1375">
        <v>10</v>
      </c>
      <c r="F1375">
        <v>10.4</v>
      </c>
      <c r="G1375">
        <v>10.9</v>
      </c>
      <c r="H1375">
        <v>8.1999999999999993</v>
      </c>
    </row>
    <row r="1376" spans="1:8" x14ac:dyDescent="0.35">
      <c r="A1376">
        <v>1374</v>
      </c>
      <c r="B1376" t="s">
        <v>1855</v>
      </c>
      <c r="C1376" t="s">
        <v>2119</v>
      </c>
      <c r="D1376" t="s">
        <v>129</v>
      </c>
      <c r="E1376">
        <v>23.1</v>
      </c>
      <c r="F1376">
        <v>5.5</v>
      </c>
      <c r="G1376">
        <v>13.8</v>
      </c>
      <c r="H1376">
        <v>8.9</v>
      </c>
    </row>
    <row r="1377" spans="1:8" x14ac:dyDescent="0.35">
      <c r="A1377">
        <v>1375</v>
      </c>
      <c r="B1377" t="s">
        <v>1855</v>
      </c>
      <c r="C1377" t="s">
        <v>2120</v>
      </c>
      <c r="D1377" t="s">
        <v>2121</v>
      </c>
      <c r="E1377">
        <v>11.7</v>
      </c>
      <c r="F1377">
        <v>6.7</v>
      </c>
      <c r="G1377">
        <v>1.5</v>
      </c>
      <c r="H1377">
        <v>12.3</v>
      </c>
    </row>
    <row r="1378" spans="1:8" x14ac:dyDescent="0.35">
      <c r="A1378">
        <v>1376</v>
      </c>
      <c r="B1378" t="s">
        <v>1855</v>
      </c>
      <c r="C1378" t="s">
        <v>2122</v>
      </c>
      <c r="D1378" t="s">
        <v>2123</v>
      </c>
      <c r="E1378">
        <v>16.7</v>
      </c>
      <c r="F1378">
        <v>7.5</v>
      </c>
      <c r="G1378">
        <v>6.5</v>
      </c>
      <c r="H1378">
        <v>10.1</v>
      </c>
    </row>
    <row r="1379" spans="1:8" x14ac:dyDescent="0.35">
      <c r="A1379">
        <v>1377</v>
      </c>
      <c r="B1379" t="s">
        <v>1855</v>
      </c>
      <c r="C1379" t="s">
        <v>2124</v>
      </c>
      <c r="D1379" t="s">
        <v>2125</v>
      </c>
      <c r="E1379">
        <v>47.4</v>
      </c>
      <c r="F1379">
        <v>3</v>
      </c>
      <c r="G1379">
        <v>9.9</v>
      </c>
      <c r="H1379">
        <v>4.4000000000000004</v>
      </c>
    </row>
    <row r="1380" spans="1:8" x14ac:dyDescent="0.35">
      <c r="A1380">
        <v>1378</v>
      </c>
      <c r="B1380" t="s">
        <v>1855</v>
      </c>
      <c r="C1380" t="s">
        <v>2126</v>
      </c>
      <c r="D1380" t="s">
        <v>2127</v>
      </c>
      <c r="E1380">
        <v>6.8</v>
      </c>
      <c r="F1380">
        <v>13.6</v>
      </c>
      <c r="G1380">
        <v>10.7</v>
      </c>
      <c r="H1380">
        <v>5.6</v>
      </c>
    </row>
    <row r="1381" spans="1:8" x14ac:dyDescent="0.35">
      <c r="A1381">
        <v>1379</v>
      </c>
      <c r="B1381" t="s">
        <v>1855</v>
      </c>
      <c r="C1381" t="s">
        <v>2128</v>
      </c>
      <c r="D1381" t="s">
        <v>1844</v>
      </c>
      <c r="E1381">
        <v>4.3</v>
      </c>
      <c r="F1381">
        <v>8.6</v>
      </c>
      <c r="G1381">
        <v>26</v>
      </c>
      <c r="H1381">
        <v>6</v>
      </c>
    </row>
    <row r="1382" spans="1:8" x14ac:dyDescent="0.35">
      <c r="A1382">
        <v>1380</v>
      </c>
      <c r="B1382" t="s">
        <v>1855</v>
      </c>
      <c r="C1382" t="s">
        <v>2129</v>
      </c>
      <c r="D1382" t="s">
        <v>2130</v>
      </c>
      <c r="E1382">
        <v>23.2</v>
      </c>
      <c r="F1382">
        <v>6.3</v>
      </c>
      <c r="G1382">
        <v>1.4</v>
      </c>
      <c r="H1382">
        <v>8.8000000000000007</v>
      </c>
    </row>
    <row r="1383" spans="1:8" x14ac:dyDescent="0.35">
      <c r="A1383">
        <v>1381</v>
      </c>
      <c r="B1383" t="s">
        <v>1855</v>
      </c>
      <c r="C1383" t="s">
        <v>2131</v>
      </c>
      <c r="D1383" t="s">
        <v>2132</v>
      </c>
      <c r="E1383">
        <v>3.8</v>
      </c>
      <c r="F1383">
        <v>10.4</v>
      </c>
      <c r="G1383">
        <v>12.8</v>
      </c>
      <c r="H1383">
        <v>14</v>
      </c>
    </row>
    <row r="1384" spans="1:8" x14ac:dyDescent="0.35">
      <c r="A1384">
        <v>1382</v>
      </c>
      <c r="B1384" t="s">
        <v>1855</v>
      </c>
      <c r="C1384" t="s">
        <v>2133</v>
      </c>
      <c r="D1384" t="s">
        <v>2134</v>
      </c>
      <c r="E1384">
        <v>5.4</v>
      </c>
      <c r="F1384">
        <v>5.0999999999999996</v>
      </c>
      <c r="G1384">
        <v>18.600000000000001</v>
      </c>
      <c r="H1384">
        <v>10.8</v>
      </c>
    </row>
    <row r="1385" spans="1:8" x14ac:dyDescent="0.35">
      <c r="A1385">
        <v>1383</v>
      </c>
      <c r="B1385" t="s">
        <v>1855</v>
      </c>
      <c r="C1385" t="s">
        <v>2135</v>
      </c>
      <c r="D1385" t="s">
        <v>2136</v>
      </c>
      <c r="E1385">
        <v>8.1999999999999993</v>
      </c>
      <c r="F1385">
        <v>8.6999999999999993</v>
      </c>
      <c r="G1385">
        <v>17.600000000000001</v>
      </c>
      <c r="H1385">
        <v>5.6</v>
      </c>
    </row>
    <row r="1386" spans="1:8" x14ac:dyDescent="0.35">
      <c r="A1386">
        <v>1384</v>
      </c>
      <c r="B1386" t="s">
        <v>1855</v>
      </c>
      <c r="C1386" t="s">
        <v>2137</v>
      </c>
      <c r="D1386" t="s">
        <v>2138</v>
      </c>
      <c r="E1386">
        <v>5.0999999999999996</v>
      </c>
      <c r="F1386">
        <v>7</v>
      </c>
      <c r="G1386">
        <v>29.1</v>
      </c>
      <c r="H1386">
        <v>12.9</v>
      </c>
    </row>
    <row r="1387" spans="1:8" x14ac:dyDescent="0.35">
      <c r="A1387">
        <v>1385</v>
      </c>
      <c r="B1387" t="s">
        <v>1855</v>
      </c>
      <c r="C1387" t="s">
        <v>2139</v>
      </c>
      <c r="D1387" t="s">
        <v>2140</v>
      </c>
      <c r="E1387">
        <v>5.4</v>
      </c>
      <c r="F1387">
        <v>8.1</v>
      </c>
      <c r="G1387">
        <v>34.4</v>
      </c>
      <c r="H1387">
        <v>6.2</v>
      </c>
    </row>
    <row r="1388" spans="1:8" x14ac:dyDescent="0.35">
      <c r="A1388">
        <v>1386</v>
      </c>
      <c r="B1388" t="s">
        <v>1855</v>
      </c>
      <c r="C1388" t="s">
        <v>2141</v>
      </c>
      <c r="D1388" t="s">
        <v>2142</v>
      </c>
      <c r="E1388">
        <v>4.3</v>
      </c>
      <c r="F1388">
        <v>5.0999999999999996</v>
      </c>
      <c r="G1388">
        <v>8.8000000000000007</v>
      </c>
      <c r="H1388">
        <v>8.8000000000000007</v>
      </c>
    </row>
    <row r="1389" spans="1:8" x14ac:dyDescent="0.35">
      <c r="A1389">
        <v>1387</v>
      </c>
      <c r="B1389" t="s">
        <v>1855</v>
      </c>
      <c r="C1389" t="s">
        <v>2143</v>
      </c>
      <c r="D1389" t="s">
        <v>2144</v>
      </c>
      <c r="E1389">
        <v>8.5</v>
      </c>
      <c r="F1389">
        <v>8.8000000000000007</v>
      </c>
      <c r="G1389">
        <v>9.3000000000000007</v>
      </c>
      <c r="H1389">
        <v>5.7</v>
      </c>
    </row>
    <row r="1390" spans="1:8" x14ac:dyDescent="0.35">
      <c r="A1390">
        <v>1388</v>
      </c>
      <c r="B1390" t="s">
        <v>1855</v>
      </c>
      <c r="C1390" t="s">
        <v>2145</v>
      </c>
      <c r="D1390" t="s">
        <v>2146</v>
      </c>
      <c r="E1390">
        <v>17.8</v>
      </c>
      <c r="F1390">
        <v>6.1</v>
      </c>
      <c r="G1390">
        <v>6.4</v>
      </c>
      <c r="H1390">
        <v>6.1</v>
      </c>
    </row>
    <row r="1391" spans="1:8" x14ac:dyDescent="0.35">
      <c r="A1391">
        <v>1389</v>
      </c>
      <c r="B1391" t="s">
        <v>1855</v>
      </c>
      <c r="C1391" t="s">
        <v>2147</v>
      </c>
      <c r="D1391" t="s">
        <v>2148</v>
      </c>
      <c r="E1391">
        <v>26.9</v>
      </c>
      <c r="F1391">
        <v>5</v>
      </c>
      <c r="G1391">
        <v>1.5</v>
      </c>
      <c r="H1391">
        <v>4</v>
      </c>
    </row>
    <row r="1392" spans="1:8" x14ac:dyDescent="0.35">
      <c r="A1392">
        <v>1390</v>
      </c>
      <c r="B1392" t="s">
        <v>1855</v>
      </c>
      <c r="C1392" t="s">
        <v>2149</v>
      </c>
      <c r="D1392" t="s">
        <v>2150</v>
      </c>
      <c r="E1392">
        <v>21.1</v>
      </c>
      <c r="F1392">
        <v>9.9</v>
      </c>
      <c r="G1392">
        <v>1.9</v>
      </c>
      <c r="H1392">
        <v>10</v>
      </c>
    </row>
    <row r="1393" spans="1:8" x14ac:dyDescent="0.35">
      <c r="A1393">
        <v>1391</v>
      </c>
      <c r="B1393" t="s">
        <v>1855</v>
      </c>
      <c r="C1393" t="s">
        <v>2151</v>
      </c>
      <c r="D1393" t="s">
        <v>2152</v>
      </c>
      <c r="E1393">
        <v>26.8</v>
      </c>
      <c r="F1393">
        <v>5.2</v>
      </c>
      <c r="G1393">
        <v>13</v>
      </c>
      <c r="H1393">
        <v>3.8</v>
      </c>
    </row>
    <row r="1394" spans="1:8" x14ac:dyDescent="0.35">
      <c r="A1394">
        <v>1392</v>
      </c>
      <c r="B1394" t="s">
        <v>1855</v>
      </c>
      <c r="C1394" t="s">
        <v>2153</v>
      </c>
      <c r="D1394" t="s">
        <v>1087</v>
      </c>
      <c r="E1394">
        <v>3.1</v>
      </c>
      <c r="F1394">
        <v>11</v>
      </c>
      <c r="G1394">
        <v>22.5</v>
      </c>
      <c r="H1394">
        <v>4.5999999999999996</v>
      </c>
    </row>
    <row r="1395" spans="1:8" x14ac:dyDescent="0.35">
      <c r="A1395">
        <v>1393</v>
      </c>
      <c r="B1395" t="s">
        <v>1855</v>
      </c>
      <c r="C1395" t="s">
        <v>2154</v>
      </c>
      <c r="D1395" t="s">
        <v>2155</v>
      </c>
      <c r="E1395">
        <v>7.5</v>
      </c>
      <c r="F1395">
        <v>9.3000000000000007</v>
      </c>
      <c r="G1395">
        <v>45.8</v>
      </c>
      <c r="H1395">
        <v>8.6999999999999993</v>
      </c>
    </row>
    <row r="1396" spans="1:8" x14ac:dyDescent="0.35">
      <c r="A1396">
        <v>1394</v>
      </c>
      <c r="B1396" t="s">
        <v>1855</v>
      </c>
      <c r="C1396" t="s">
        <v>2156</v>
      </c>
      <c r="D1396" t="s">
        <v>2157</v>
      </c>
      <c r="E1396">
        <v>13.9</v>
      </c>
      <c r="F1396">
        <v>9.5</v>
      </c>
      <c r="G1396">
        <v>14.3</v>
      </c>
      <c r="H1396">
        <v>7.5</v>
      </c>
    </row>
    <row r="1397" spans="1:8" x14ac:dyDescent="0.35">
      <c r="A1397">
        <v>1395</v>
      </c>
      <c r="B1397" t="s">
        <v>1855</v>
      </c>
      <c r="C1397" t="s">
        <v>2158</v>
      </c>
      <c r="D1397" t="s">
        <v>2159</v>
      </c>
      <c r="E1397">
        <v>11.8</v>
      </c>
      <c r="F1397">
        <v>5.0999999999999996</v>
      </c>
      <c r="G1397">
        <v>51</v>
      </c>
      <c r="H1397">
        <v>11.6</v>
      </c>
    </row>
    <row r="1398" spans="1:8" x14ac:dyDescent="0.35">
      <c r="A1398">
        <v>1396</v>
      </c>
      <c r="B1398" t="s">
        <v>1855</v>
      </c>
      <c r="C1398" t="s">
        <v>2160</v>
      </c>
      <c r="D1398" t="s">
        <v>2161</v>
      </c>
      <c r="E1398">
        <v>26.5</v>
      </c>
      <c r="F1398">
        <v>8.1</v>
      </c>
      <c r="G1398">
        <v>8.1</v>
      </c>
      <c r="H1398">
        <v>5.4</v>
      </c>
    </row>
    <row r="1399" spans="1:8" x14ac:dyDescent="0.35">
      <c r="A1399">
        <v>1397</v>
      </c>
      <c r="B1399" t="s">
        <v>1855</v>
      </c>
      <c r="C1399" t="s">
        <v>2162</v>
      </c>
      <c r="D1399" t="s">
        <v>517</v>
      </c>
      <c r="E1399">
        <v>15.4</v>
      </c>
      <c r="F1399">
        <v>7.3</v>
      </c>
      <c r="G1399">
        <v>22.5</v>
      </c>
      <c r="H1399">
        <v>5.5</v>
      </c>
    </row>
    <row r="1400" spans="1:8" x14ac:dyDescent="0.35">
      <c r="A1400">
        <v>1398</v>
      </c>
      <c r="B1400" t="s">
        <v>1855</v>
      </c>
      <c r="C1400" t="s">
        <v>2163</v>
      </c>
      <c r="D1400" t="s">
        <v>2164</v>
      </c>
      <c r="E1400">
        <v>9.1999999999999993</v>
      </c>
      <c r="F1400">
        <v>6.9</v>
      </c>
      <c r="G1400">
        <v>15.7</v>
      </c>
      <c r="H1400">
        <v>5.3</v>
      </c>
    </row>
    <row r="1401" spans="1:8" x14ac:dyDescent="0.35">
      <c r="A1401">
        <v>1399</v>
      </c>
      <c r="B1401" t="s">
        <v>1855</v>
      </c>
      <c r="C1401" t="s">
        <v>2165</v>
      </c>
      <c r="D1401" t="s">
        <v>2166</v>
      </c>
      <c r="E1401">
        <v>5.3</v>
      </c>
      <c r="F1401">
        <v>9.4</v>
      </c>
      <c r="G1401">
        <v>4.3</v>
      </c>
      <c r="H1401">
        <v>13.7</v>
      </c>
    </row>
    <row r="1402" spans="1:8" x14ac:dyDescent="0.35">
      <c r="A1402">
        <v>1400</v>
      </c>
      <c r="B1402" t="s">
        <v>1855</v>
      </c>
      <c r="C1402" t="s">
        <v>2167</v>
      </c>
      <c r="D1402" t="s">
        <v>2168</v>
      </c>
      <c r="E1402">
        <v>22.7</v>
      </c>
      <c r="F1402">
        <v>5.9</v>
      </c>
      <c r="G1402">
        <v>12.5</v>
      </c>
      <c r="H1402">
        <v>10.199999999999999</v>
      </c>
    </row>
    <row r="1403" spans="1:8" x14ac:dyDescent="0.35">
      <c r="A1403">
        <v>1401</v>
      </c>
      <c r="B1403" t="s">
        <v>2169</v>
      </c>
      <c r="C1403" t="s">
        <v>2170</v>
      </c>
      <c r="D1403" t="s">
        <v>2171</v>
      </c>
      <c r="E1403">
        <v>6.3</v>
      </c>
      <c r="F1403">
        <v>7</v>
      </c>
      <c r="G1403">
        <v>5</v>
      </c>
      <c r="H1403">
        <v>8.1</v>
      </c>
    </row>
    <row r="1404" spans="1:8" x14ac:dyDescent="0.35">
      <c r="A1404">
        <v>1402</v>
      </c>
      <c r="B1404" t="s">
        <v>2169</v>
      </c>
      <c r="C1404" t="s">
        <v>2172</v>
      </c>
      <c r="D1404" t="s">
        <v>1016</v>
      </c>
      <c r="E1404">
        <v>4</v>
      </c>
      <c r="F1404" t="s">
        <v>303</v>
      </c>
      <c r="G1404">
        <v>4.5</v>
      </c>
      <c r="H1404">
        <v>10.8</v>
      </c>
    </row>
    <row r="1405" spans="1:8" x14ac:dyDescent="0.35">
      <c r="A1405">
        <v>1403</v>
      </c>
      <c r="B1405">
        <v>9</v>
      </c>
      <c r="C1405">
        <v>15.5</v>
      </c>
      <c r="D1405" t="s">
        <v>2169</v>
      </c>
      <c r="E1405">
        <v>16</v>
      </c>
      <c r="F1405">
        <v>6.9</v>
      </c>
      <c r="G1405">
        <v>21</v>
      </c>
      <c r="H1405">
        <v>5.8</v>
      </c>
    </row>
    <row r="1406" spans="1:8" x14ac:dyDescent="0.35">
      <c r="A1406">
        <v>1404</v>
      </c>
      <c r="B1406" t="s">
        <v>2169</v>
      </c>
      <c r="C1406" t="s">
        <v>2173</v>
      </c>
      <c r="D1406" t="s">
        <v>29</v>
      </c>
      <c r="E1406">
        <v>11.8</v>
      </c>
      <c r="F1406">
        <v>6.1</v>
      </c>
      <c r="G1406">
        <v>41.7</v>
      </c>
      <c r="H1406">
        <v>11.2</v>
      </c>
    </row>
    <row r="1407" spans="1:8" x14ac:dyDescent="0.35">
      <c r="A1407">
        <v>1405</v>
      </c>
      <c r="B1407" t="s">
        <v>2169</v>
      </c>
      <c r="C1407" t="s">
        <v>2174</v>
      </c>
      <c r="D1407" t="s">
        <v>2175</v>
      </c>
      <c r="E1407">
        <v>2.5</v>
      </c>
      <c r="F1407">
        <v>19.100000000000001</v>
      </c>
      <c r="G1407">
        <v>2</v>
      </c>
      <c r="H1407">
        <v>10.8</v>
      </c>
    </row>
    <row r="1408" spans="1:8" x14ac:dyDescent="0.35">
      <c r="A1408">
        <v>1406</v>
      </c>
      <c r="B1408" t="s">
        <v>2169</v>
      </c>
      <c r="C1408" t="s">
        <v>2176</v>
      </c>
      <c r="D1408" t="s">
        <v>2177</v>
      </c>
      <c r="E1408">
        <v>4.2</v>
      </c>
      <c r="F1408">
        <v>6.1</v>
      </c>
      <c r="G1408">
        <v>6.7</v>
      </c>
      <c r="H1408">
        <v>8.5</v>
      </c>
    </row>
    <row r="1409" spans="1:8" x14ac:dyDescent="0.35">
      <c r="A1409">
        <v>1407</v>
      </c>
      <c r="B1409" t="s">
        <v>2169</v>
      </c>
      <c r="C1409" t="s">
        <v>2178</v>
      </c>
      <c r="D1409" t="s">
        <v>2179</v>
      </c>
      <c r="E1409">
        <v>4.0999999999999996</v>
      </c>
      <c r="F1409">
        <v>7.5</v>
      </c>
      <c r="G1409">
        <v>8.3000000000000007</v>
      </c>
      <c r="H1409">
        <v>25.7</v>
      </c>
    </row>
    <row r="1410" spans="1:8" x14ac:dyDescent="0.35">
      <c r="A1410">
        <v>1408</v>
      </c>
      <c r="B1410" t="s">
        <v>2169</v>
      </c>
      <c r="C1410" t="s">
        <v>2180</v>
      </c>
      <c r="D1410" t="s">
        <v>2181</v>
      </c>
      <c r="E1410">
        <v>3.8</v>
      </c>
      <c r="F1410">
        <v>10.1</v>
      </c>
      <c r="G1410">
        <v>3.3</v>
      </c>
      <c r="H1410">
        <v>6.1</v>
      </c>
    </row>
    <row r="1411" spans="1:8" x14ac:dyDescent="0.35">
      <c r="A1411">
        <v>1409</v>
      </c>
      <c r="B1411" t="s">
        <v>2169</v>
      </c>
      <c r="C1411" t="s">
        <v>2182</v>
      </c>
      <c r="D1411" t="s">
        <v>710</v>
      </c>
      <c r="E1411">
        <v>6.9</v>
      </c>
      <c r="F1411">
        <v>6.2</v>
      </c>
      <c r="G1411">
        <v>3.7</v>
      </c>
      <c r="H1411">
        <v>5.7</v>
      </c>
    </row>
    <row r="1412" spans="1:8" x14ac:dyDescent="0.35">
      <c r="A1412">
        <v>1410</v>
      </c>
      <c r="B1412" t="s">
        <v>2169</v>
      </c>
      <c r="C1412" t="s">
        <v>2183</v>
      </c>
      <c r="D1412" t="s">
        <v>29</v>
      </c>
      <c r="E1412">
        <v>1.7</v>
      </c>
      <c r="F1412">
        <v>4.0999999999999996</v>
      </c>
      <c r="G1412">
        <v>8.5</v>
      </c>
      <c r="H1412">
        <v>46.4</v>
      </c>
    </row>
    <row r="1413" spans="1:8" x14ac:dyDescent="0.35">
      <c r="A1413">
        <v>1411</v>
      </c>
      <c r="B1413" t="s">
        <v>2169</v>
      </c>
      <c r="C1413" t="s">
        <v>2184</v>
      </c>
      <c r="D1413" t="s">
        <v>2185</v>
      </c>
      <c r="E1413">
        <v>14.7</v>
      </c>
      <c r="F1413">
        <v>7.9</v>
      </c>
      <c r="G1413">
        <v>10.199999999999999</v>
      </c>
      <c r="H1413">
        <v>17.600000000000001</v>
      </c>
    </row>
    <row r="1414" spans="1:8" x14ac:dyDescent="0.35">
      <c r="A1414">
        <v>1412</v>
      </c>
      <c r="B1414" t="s">
        <v>2169</v>
      </c>
      <c r="C1414" t="s">
        <v>2186</v>
      </c>
      <c r="D1414" t="s">
        <v>2187</v>
      </c>
      <c r="E1414">
        <v>5</v>
      </c>
      <c r="F1414">
        <v>6.3</v>
      </c>
      <c r="G1414">
        <v>8.9</v>
      </c>
      <c r="H1414">
        <v>6.4</v>
      </c>
    </row>
    <row r="1415" spans="1:8" x14ac:dyDescent="0.35">
      <c r="A1415">
        <v>1413</v>
      </c>
      <c r="B1415" t="s">
        <v>2169</v>
      </c>
      <c r="C1415" t="s">
        <v>2188</v>
      </c>
      <c r="D1415" t="s">
        <v>49</v>
      </c>
      <c r="E1415">
        <v>5</v>
      </c>
      <c r="F1415" t="s">
        <v>303</v>
      </c>
      <c r="G1415">
        <v>3.7</v>
      </c>
      <c r="H1415">
        <v>5.6</v>
      </c>
    </row>
    <row r="1416" spans="1:8" x14ac:dyDescent="0.35">
      <c r="A1416">
        <v>1414</v>
      </c>
      <c r="B1416">
        <v>18.3</v>
      </c>
      <c r="C1416">
        <v>8.5</v>
      </c>
      <c r="D1416" t="s">
        <v>2169</v>
      </c>
      <c r="E1416">
        <v>2.2999999999999998</v>
      </c>
      <c r="F1416">
        <v>10.1</v>
      </c>
      <c r="G1416">
        <v>5.9</v>
      </c>
      <c r="H1416">
        <v>15.8</v>
      </c>
    </row>
    <row r="1417" spans="1:8" x14ac:dyDescent="0.35">
      <c r="A1417">
        <v>1415</v>
      </c>
      <c r="B1417" t="s">
        <v>2169</v>
      </c>
      <c r="C1417" t="s">
        <v>2189</v>
      </c>
      <c r="D1417" t="s">
        <v>1279</v>
      </c>
      <c r="E1417">
        <v>5</v>
      </c>
      <c r="F1417">
        <v>11.7</v>
      </c>
      <c r="G1417">
        <v>15.3</v>
      </c>
      <c r="H1417">
        <v>10.3</v>
      </c>
    </row>
    <row r="1418" spans="1:8" x14ac:dyDescent="0.35">
      <c r="A1418">
        <v>1416</v>
      </c>
      <c r="B1418" t="s">
        <v>2169</v>
      </c>
      <c r="C1418" t="s">
        <v>2190</v>
      </c>
      <c r="D1418" t="s">
        <v>1072</v>
      </c>
      <c r="E1418">
        <v>10.5</v>
      </c>
      <c r="F1418">
        <v>9.6999999999999993</v>
      </c>
      <c r="G1418">
        <v>5.6</v>
      </c>
      <c r="H1418">
        <v>11.4</v>
      </c>
    </row>
    <row r="1419" spans="1:8" x14ac:dyDescent="0.35">
      <c r="A1419">
        <v>1417</v>
      </c>
      <c r="B1419" t="s">
        <v>2169</v>
      </c>
      <c r="C1419" t="s">
        <v>2191</v>
      </c>
      <c r="D1419" t="s">
        <v>1628</v>
      </c>
      <c r="E1419">
        <v>3</v>
      </c>
      <c r="F1419" t="s">
        <v>303</v>
      </c>
      <c r="G1419">
        <v>28.3</v>
      </c>
      <c r="H1419">
        <v>6.3</v>
      </c>
    </row>
    <row r="1420" spans="1:8" x14ac:dyDescent="0.35">
      <c r="A1420">
        <v>1418</v>
      </c>
      <c r="B1420">
        <v>1</v>
      </c>
      <c r="C1420">
        <v>6.8</v>
      </c>
      <c r="D1420" t="s">
        <v>2169</v>
      </c>
      <c r="E1420">
        <v>3.5</v>
      </c>
      <c r="F1420">
        <v>10.5</v>
      </c>
      <c r="G1420">
        <v>8.6999999999999993</v>
      </c>
      <c r="H1420">
        <v>26.7</v>
      </c>
    </row>
    <row r="1421" spans="1:8" x14ac:dyDescent="0.35">
      <c r="A1421">
        <v>1419</v>
      </c>
      <c r="B1421" t="s">
        <v>2169</v>
      </c>
      <c r="C1421" t="s">
        <v>2192</v>
      </c>
      <c r="D1421" t="s">
        <v>2193</v>
      </c>
      <c r="E1421">
        <v>4</v>
      </c>
      <c r="F1421" t="s">
        <v>303</v>
      </c>
      <c r="G1421">
        <v>4.3</v>
      </c>
      <c r="H1421">
        <v>8.6</v>
      </c>
    </row>
    <row r="1422" spans="1:8" x14ac:dyDescent="0.35">
      <c r="A1422">
        <v>1420</v>
      </c>
      <c r="B1422">
        <v>24.1</v>
      </c>
      <c r="C1422">
        <v>12.8</v>
      </c>
      <c r="D1422" t="s">
        <v>2169</v>
      </c>
      <c r="E1422">
        <v>4.7</v>
      </c>
      <c r="F1422">
        <v>6.8</v>
      </c>
      <c r="G1422">
        <v>12.4</v>
      </c>
      <c r="H1422">
        <v>10.3</v>
      </c>
    </row>
    <row r="1423" spans="1:8" x14ac:dyDescent="0.35">
      <c r="A1423">
        <v>1421</v>
      </c>
      <c r="B1423" t="s">
        <v>2169</v>
      </c>
      <c r="C1423" t="s">
        <v>2194</v>
      </c>
      <c r="D1423" t="s">
        <v>1327</v>
      </c>
      <c r="E1423">
        <v>4</v>
      </c>
      <c r="F1423" t="s">
        <v>303</v>
      </c>
      <c r="G1423">
        <v>1.1000000000000001</v>
      </c>
      <c r="H1423">
        <v>13</v>
      </c>
    </row>
    <row r="1424" spans="1:8" x14ac:dyDescent="0.35">
      <c r="A1424">
        <v>1422</v>
      </c>
      <c r="B1424">
        <v>10.5</v>
      </c>
      <c r="C1424">
        <v>17.399999999999999</v>
      </c>
      <c r="D1424" t="s">
        <v>2169</v>
      </c>
      <c r="E1424">
        <v>4</v>
      </c>
      <c r="F1424" t="s">
        <v>303</v>
      </c>
      <c r="G1424">
        <v>3.9</v>
      </c>
      <c r="H1424">
        <v>17.899999999999999</v>
      </c>
    </row>
    <row r="1425" spans="1:8" x14ac:dyDescent="0.35">
      <c r="A1425">
        <v>1423</v>
      </c>
      <c r="B1425">
        <v>5.2</v>
      </c>
      <c r="C1425">
        <v>9.4</v>
      </c>
      <c r="D1425" t="s">
        <v>2169</v>
      </c>
      <c r="E1425">
        <v>4</v>
      </c>
      <c r="F1425" t="s">
        <v>303</v>
      </c>
      <c r="G1425">
        <v>2</v>
      </c>
      <c r="H1425">
        <v>3.5</v>
      </c>
    </row>
    <row r="1426" spans="1:8" x14ac:dyDescent="0.35">
      <c r="A1426">
        <v>1424</v>
      </c>
      <c r="B1426">
        <v>29.2</v>
      </c>
      <c r="C1426">
        <v>7.3</v>
      </c>
      <c r="D1426" t="s">
        <v>2169</v>
      </c>
      <c r="E1426">
        <v>10.5</v>
      </c>
      <c r="F1426">
        <v>7.4</v>
      </c>
      <c r="G1426">
        <v>5.6</v>
      </c>
      <c r="H1426">
        <v>8.9</v>
      </c>
    </row>
    <row r="1427" spans="1:8" x14ac:dyDescent="0.35">
      <c r="A1427">
        <v>1425</v>
      </c>
      <c r="B1427" t="s">
        <v>2169</v>
      </c>
      <c r="C1427" t="s">
        <v>2195</v>
      </c>
      <c r="D1427" t="s">
        <v>1309</v>
      </c>
      <c r="E1427">
        <v>7.4</v>
      </c>
      <c r="F1427">
        <v>5.3</v>
      </c>
      <c r="G1427">
        <v>1.5</v>
      </c>
      <c r="H1427">
        <v>2.4</v>
      </c>
    </row>
    <row r="1428" spans="1:8" x14ac:dyDescent="0.35">
      <c r="A1428">
        <v>1426</v>
      </c>
      <c r="B1428" t="s">
        <v>2169</v>
      </c>
      <c r="C1428" t="s">
        <v>2196</v>
      </c>
      <c r="D1428" t="s">
        <v>2197</v>
      </c>
      <c r="E1428">
        <v>17.7</v>
      </c>
      <c r="F1428">
        <v>4.7</v>
      </c>
      <c r="G1428">
        <v>12.1</v>
      </c>
      <c r="H1428">
        <v>18.5</v>
      </c>
    </row>
    <row r="1429" spans="1:8" x14ac:dyDescent="0.35">
      <c r="A1429">
        <v>1427</v>
      </c>
      <c r="B1429" t="s">
        <v>2169</v>
      </c>
      <c r="C1429" t="s">
        <v>2198</v>
      </c>
      <c r="D1429" t="s">
        <v>1016</v>
      </c>
      <c r="E1429">
        <v>7.5</v>
      </c>
      <c r="F1429">
        <v>11.2</v>
      </c>
      <c r="G1429">
        <v>4.9000000000000004</v>
      </c>
      <c r="H1429">
        <v>19.7</v>
      </c>
    </row>
    <row r="1430" spans="1:8" x14ac:dyDescent="0.35">
      <c r="A1430">
        <v>1428</v>
      </c>
      <c r="B1430" t="s">
        <v>2169</v>
      </c>
      <c r="C1430" t="s">
        <v>2199</v>
      </c>
      <c r="D1430" t="s">
        <v>218</v>
      </c>
      <c r="E1430">
        <v>28.8</v>
      </c>
      <c r="F1430">
        <v>7.3</v>
      </c>
      <c r="G1430">
        <v>10.4</v>
      </c>
      <c r="H1430">
        <v>3.4</v>
      </c>
    </row>
    <row r="1431" spans="1:8" x14ac:dyDescent="0.35">
      <c r="A1431">
        <v>1429</v>
      </c>
      <c r="B1431" t="s">
        <v>2169</v>
      </c>
      <c r="C1431" t="s">
        <v>2200</v>
      </c>
      <c r="D1431" t="s">
        <v>2201</v>
      </c>
      <c r="E1431">
        <v>6.7</v>
      </c>
      <c r="F1431">
        <v>5.4</v>
      </c>
      <c r="G1431">
        <v>12.9</v>
      </c>
      <c r="H1431">
        <v>8.6999999999999993</v>
      </c>
    </row>
    <row r="1432" spans="1:8" x14ac:dyDescent="0.35">
      <c r="A1432">
        <v>1430</v>
      </c>
      <c r="B1432" t="s">
        <v>2169</v>
      </c>
      <c r="C1432" t="s">
        <v>2202</v>
      </c>
      <c r="D1432" t="s">
        <v>327</v>
      </c>
      <c r="E1432">
        <v>1</v>
      </c>
      <c r="F1432">
        <v>8.1</v>
      </c>
      <c r="G1432">
        <v>58</v>
      </c>
      <c r="H1432">
        <v>16.100000000000001</v>
      </c>
    </row>
    <row r="1433" spans="1:8" x14ac:dyDescent="0.35">
      <c r="A1433">
        <v>1431</v>
      </c>
      <c r="B1433" t="s">
        <v>2169</v>
      </c>
      <c r="C1433" t="s">
        <v>2203</v>
      </c>
      <c r="D1433" t="s">
        <v>2204</v>
      </c>
      <c r="E1433">
        <v>16.3</v>
      </c>
      <c r="F1433">
        <v>6.4</v>
      </c>
      <c r="G1433">
        <v>8.6</v>
      </c>
      <c r="H1433">
        <v>20.6</v>
      </c>
    </row>
    <row r="1434" spans="1:8" x14ac:dyDescent="0.35">
      <c r="A1434">
        <v>1432</v>
      </c>
      <c r="B1434" t="s">
        <v>2169</v>
      </c>
      <c r="C1434" t="s">
        <v>2205</v>
      </c>
      <c r="D1434" t="s">
        <v>385</v>
      </c>
      <c r="E1434">
        <v>8.1</v>
      </c>
      <c r="F1434">
        <v>12.9</v>
      </c>
      <c r="G1434">
        <v>4.2</v>
      </c>
      <c r="H1434">
        <v>10.6</v>
      </c>
    </row>
    <row r="1435" spans="1:8" x14ac:dyDescent="0.35">
      <c r="A1435">
        <v>1433</v>
      </c>
      <c r="B1435" t="s">
        <v>2169</v>
      </c>
      <c r="C1435" t="s">
        <v>2206</v>
      </c>
      <c r="D1435" t="s">
        <v>117</v>
      </c>
      <c r="E1435">
        <v>16.7</v>
      </c>
      <c r="F1435">
        <v>7.6</v>
      </c>
      <c r="G1435">
        <v>16.899999999999999</v>
      </c>
      <c r="H1435">
        <v>8.1</v>
      </c>
    </row>
    <row r="1436" spans="1:8" x14ac:dyDescent="0.35">
      <c r="A1436">
        <v>1434</v>
      </c>
      <c r="B1436" t="s">
        <v>2169</v>
      </c>
      <c r="C1436" t="s">
        <v>2207</v>
      </c>
      <c r="D1436" t="s">
        <v>2208</v>
      </c>
      <c r="E1436">
        <v>10.4</v>
      </c>
      <c r="F1436">
        <v>7.2</v>
      </c>
      <c r="G1436">
        <v>30.9</v>
      </c>
      <c r="H1436">
        <v>3.4</v>
      </c>
    </row>
    <row r="1437" spans="1:8" x14ac:dyDescent="0.35">
      <c r="A1437">
        <v>1435</v>
      </c>
      <c r="B1437" t="s">
        <v>2169</v>
      </c>
      <c r="C1437" t="s">
        <v>2209</v>
      </c>
      <c r="D1437" t="s">
        <v>2157</v>
      </c>
      <c r="E1437">
        <v>13.2</v>
      </c>
      <c r="F1437">
        <v>4.8</v>
      </c>
      <c r="G1437">
        <v>22.8</v>
      </c>
      <c r="H1437">
        <v>2.6</v>
      </c>
    </row>
    <row r="1438" spans="1:8" x14ac:dyDescent="0.35">
      <c r="A1438">
        <v>1436</v>
      </c>
      <c r="B1438" t="s">
        <v>2169</v>
      </c>
      <c r="C1438" t="s">
        <v>2210</v>
      </c>
      <c r="D1438" t="s">
        <v>74</v>
      </c>
      <c r="E1438">
        <v>2.2000000000000002</v>
      </c>
      <c r="F1438">
        <v>8.6</v>
      </c>
      <c r="G1438">
        <v>5.2</v>
      </c>
      <c r="H1438">
        <v>25.6</v>
      </c>
    </row>
    <row r="1439" spans="1:8" x14ac:dyDescent="0.35">
      <c r="A1439">
        <v>1437</v>
      </c>
      <c r="B1439" t="s">
        <v>2169</v>
      </c>
      <c r="C1439" t="s">
        <v>2211</v>
      </c>
      <c r="D1439" t="s">
        <v>1072</v>
      </c>
      <c r="E1439">
        <v>14.8</v>
      </c>
      <c r="F1439">
        <v>9.6999999999999993</v>
      </c>
      <c r="G1439">
        <v>7</v>
      </c>
      <c r="H1439">
        <v>11.3</v>
      </c>
    </row>
    <row r="1440" spans="1:8" x14ac:dyDescent="0.35">
      <c r="A1440">
        <v>1438</v>
      </c>
      <c r="B1440" t="s">
        <v>2169</v>
      </c>
      <c r="C1440" t="s">
        <v>2212</v>
      </c>
      <c r="D1440" t="s">
        <v>2213</v>
      </c>
      <c r="E1440">
        <v>7.9</v>
      </c>
      <c r="F1440">
        <v>12.7</v>
      </c>
      <c r="G1440">
        <v>7.9</v>
      </c>
      <c r="H1440">
        <v>3.6</v>
      </c>
    </row>
    <row r="1441" spans="1:8" x14ac:dyDescent="0.35">
      <c r="A1441">
        <v>1439</v>
      </c>
      <c r="B1441" t="s">
        <v>2169</v>
      </c>
      <c r="C1441" t="s">
        <v>2214</v>
      </c>
      <c r="D1441" t="s">
        <v>214</v>
      </c>
      <c r="E1441">
        <v>2.1</v>
      </c>
      <c r="F1441">
        <v>4.5999999999999996</v>
      </c>
      <c r="G1441">
        <v>25</v>
      </c>
      <c r="H1441">
        <v>15</v>
      </c>
    </row>
    <row r="1442" spans="1:8" x14ac:dyDescent="0.35">
      <c r="A1442">
        <v>1440</v>
      </c>
      <c r="B1442" t="s">
        <v>2169</v>
      </c>
      <c r="C1442" t="s">
        <v>2215</v>
      </c>
      <c r="D1442" t="s">
        <v>2216</v>
      </c>
      <c r="E1442">
        <v>17.399999999999999</v>
      </c>
      <c r="F1442">
        <v>6.6</v>
      </c>
      <c r="G1442">
        <v>2</v>
      </c>
      <c r="H1442">
        <v>5.6</v>
      </c>
    </row>
    <row r="1443" spans="1:8" x14ac:dyDescent="0.35">
      <c r="A1443">
        <v>1441</v>
      </c>
      <c r="B1443" t="s">
        <v>2169</v>
      </c>
      <c r="C1443" t="s">
        <v>2217</v>
      </c>
      <c r="D1443" t="s">
        <v>2218</v>
      </c>
      <c r="E1443">
        <v>6</v>
      </c>
      <c r="F1443">
        <v>6.6</v>
      </c>
      <c r="G1443">
        <v>2.4</v>
      </c>
      <c r="H1443">
        <v>8.6</v>
      </c>
    </row>
    <row r="1444" spans="1:8" x14ac:dyDescent="0.35">
      <c r="A1444">
        <v>1442</v>
      </c>
      <c r="B1444" t="s">
        <v>2169</v>
      </c>
      <c r="C1444" t="s">
        <v>2219</v>
      </c>
      <c r="D1444" t="s">
        <v>2220</v>
      </c>
      <c r="E1444">
        <v>26</v>
      </c>
      <c r="F1444">
        <v>5.4</v>
      </c>
      <c r="G1444">
        <v>5.8</v>
      </c>
      <c r="H1444">
        <v>3.5</v>
      </c>
    </row>
    <row r="1445" spans="1:8" x14ac:dyDescent="0.35">
      <c r="A1445">
        <v>1443</v>
      </c>
      <c r="B1445" t="s">
        <v>2169</v>
      </c>
      <c r="C1445" t="s">
        <v>2221</v>
      </c>
      <c r="D1445" t="s">
        <v>2222</v>
      </c>
      <c r="E1445">
        <v>1.6</v>
      </c>
      <c r="F1445">
        <v>7.5</v>
      </c>
      <c r="G1445">
        <v>14.7</v>
      </c>
      <c r="H1445">
        <v>9.5</v>
      </c>
    </row>
    <row r="1446" spans="1:8" x14ac:dyDescent="0.35">
      <c r="A1446">
        <v>1444</v>
      </c>
      <c r="B1446" t="s">
        <v>2169</v>
      </c>
      <c r="C1446" t="s">
        <v>2223</v>
      </c>
      <c r="D1446" t="s">
        <v>1236</v>
      </c>
      <c r="E1446">
        <v>19</v>
      </c>
      <c r="F1446">
        <v>7.4</v>
      </c>
      <c r="G1446">
        <v>16.2</v>
      </c>
      <c r="H1446">
        <v>4.5</v>
      </c>
    </row>
    <row r="1447" spans="1:8" x14ac:dyDescent="0.35">
      <c r="A1447">
        <v>1445</v>
      </c>
      <c r="B1447" t="s">
        <v>2169</v>
      </c>
      <c r="C1447" t="s">
        <v>2224</v>
      </c>
      <c r="D1447" t="s">
        <v>2225</v>
      </c>
      <c r="E1447">
        <v>6.7</v>
      </c>
      <c r="F1447">
        <v>5</v>
      </c>
      <c r="G1447">
        <v>4.8</v>
      </c>
      <c r="H1447">
        <v>11.4</v>
      </c>
    </row>
    <row r="1448" spans="1:8" x14ac:dyDescent="0.35">
      <c r="A1448">
        <v>1446</v>
      </c>
      <c r="B1448" t="s">
        <v>2169</v>
      </c>
      <c r="C1448" t="s">
        <v>2226</v>
      </c>
      <c r="D1448" t="s">
        <v>2227</v>
      </c>
      <c r="E1448">
        <v>12.5</v>
      </c>
      <c r="F1448">
        <v>8.6</v>
      </c>
      <c r="G1448">
        <v>14.3</v>
      </c>
      <c r="H1448">
        <v>12.4</v>
      </c>
    </row>
    <row r="1449" spans="1:8" x14ac:dyDescent="0.35">
      <c r="A1449">
        <v>1447</v>
      </c>
      <c r="B1449" t="s">
        <v>2169</v>
      </c>
      <c r="C1449" t="s">
        <v>2228</v>
      </c>
      <c r="D1449" t="s">
        <v>53</v>
      </c>
      <c r="E1449">
        <v>4</v>
      </c>
      <c r="F1449">
        <v>7.8</v>
      </c>
      <c r="G1449">
        <v>16.100000000000001</v>
      </c>
      <c r="H1449">
        <v>10.9</v>
      </c>
    </row>
    <row r="1450" spans="1:8" x14ac:dyDescent="0.35">
      <c r="A1450">
        <v>1448</v>
      </c>
      <c r="B1450" t="s">
        <v>2169</v>
      </c>
      <c r="C1450" t="s">
        <v>2229</v>
      </c>
      <c r="D1450" t="s">
        <v>53</v>
      </c>
      <c r="E1450">
        <v>10</v>
      </c>
      <c r="F1450">
        <v>6.2</v>
      </c>
      <c r="G1450">
        <v>17.600000000000001</v>
      </c>
      <c r="H1450">
        <v>7.2</v>
      </c>
    </row>
    <row r="1451" spans="1:8" x14ac:dyDescent="0.35">
      <c r="A1451">
        <v>1449</v>
      </c>
      <c r="B1451" t="s">
        <v>2169</v>
      </c>
      <c r="C1451" t="s">
        <v>2230</v>
      </c>
      <c r="D1451" t="s">
        <v>385</v>
      </c>
      <c r="E1451">
        <v>5</v>
      </c>
      <c r="F1451" t="s">
        <v>303</v>
      </c>
      <c r="G1451">
        <v>4.3</v>
      </c>
      <c r="H1451">
        <v>12.5</v>
      </c>
    </row>
    <row r="1452" spans="1:8" x14ac:dyDescent="0.35">
      <c r="A1452">
        <v>1450</v>
      </c>
      <c r="B1452">
        <v>4.5</v>
      </c>
      <c r="C1452">
        <v>12.9</v>
      </c>
      <c r="D1452" t="s">
        <v>2169</v>
      </c>
      <c r="E1452">
        <v>9.3000000000000007</v>
      </c>
      <c r="F1452">
        <v>4.4000000000000004</v>
      </c>
      <c r="G1452">
        <v>5.5</v>
      </c>
      <c r="H1452">
        <v>5.9</v>
      </c>
    </row>
    <row r="1453" spans="1:8" x14ac:dyDescent="0.35">
      <c r="A1453">
        <v>1451</v>
      </c>
      <c r="B1453" t="s">
        <v>2169</v>
      </c>
      <c r="C1453" t="s">
        <v>2231</v>
      </c>
      <c r="D1453" t="s">
        <v>2232</v>
      </c>
      <c r="E1453">
        <v>15.8</v>
      </c>
      <c r="F1453">
        <v>9.3000000000000007</v>
      </c>
      <c r="G1453">
        <v>4.9000000000000004</v>
      </c>
      <c r="H1453">
        <v>6.7</v>
      </c>
    </row>
    <row r="1454" spans="1:8" x14ac:dyDescent="0.35">
      <c r="A1454">
        <v>1452</v>
      </c>
      <c r="B1454" t="s">
        <v>2169</v>
      </c>
      <c r="C1454" t="s">
        <v>2233</v>
      </c>
      <c r="D1454" t="s">
        <v>2234</v>
      </c>
      <c r="E1454">
        <v>4.0999999999999996</v>
      </c>
      <c r="F1454">
        <v>6.6</v>
      </c>
      <c r="G1454">
        <v>7.1</v>
      </c>
      <c r="H1454">
        <v>13.1</v>
      </c>
    </row>
    <row r="1455" spans="1:8" x14ac:dyDescent="0.35">
      <c r="A1455">
        <v>1453</v>
      </c>
      <c r="B1455" t="s">
        <v>2169</v>
      </c>
      <c r="C1455" t="s">
        <v>2235</v>
      </c>
      <c r="D1455" t="s">
        <v>1396</v>
      </c>
      <c r="E1455">
        <v>8.6</v>
      </c>
      <c r="F1455">
        <v>6.3</v>
      </c>
      <c r="G1455">
        <v>8.6</v>
      </c>
      <c r="H1455">
        <v>10.1</v>
      </c>
    </row>
    <row r="1456" spans="1:8" x14ac:dyDescent="0.35">
      <c r="A1456">
        <v>1454</v>
      </c>
      <c r="B1456" t="s">
        <v>2169</v>
      </c>
      <c r="C1456" t="s">
        <v>2236</v>
      </c>
      <c r="D1456" t="s">
        <v>2237</v>
      </c>
      <c r="E1456">
        <v>2.7</v>
      </c>
      <c r="F1456">
        <v>5.2</v>
      </c>
      <c r="G1456">
        <v>31.8</v>
      </c>
      <c r="H1456">
        <v>13.1</v>
      </c>
    </row>
    <row r="1457" spans="1:8" x14ac:dyDescent="0.35">
      <c r="A1457">
        <v>1455</v>
      </c>
      <c r="B1457" t="s">
        <v>2169</v>
      </c>
      <c r="C1457" t="s">
        <v>2238</v>
      </c>
      <c r="D1457" t="s">
        <v>2239</v>
      </c>
      <c r="E1457">
        <v>10.5</v>
      </c>
      <c r="F1457">
        <v>5.2</v>
      </c>
      <c r="G1457">
        <v>3.9</v>
      </c>
      <c r="H1457">
        <v>6.3</v>
      </c>
    </row>
    <row r="1458" spans="1:8" x14ac:dyDescent="0.35">
      <c r="A1458">
        <v>1456</v>
      </c>
      <c r="B1458" t="s">
        <v>2169</v>
      </c>
      <c r="C1458" t="s">
        <v>2240</v>
      </c>
      <c r="D1458" t="s">
        <v>2241</v>
      </c>
      <c r="E1458">
        <v>2.1</v>
      </c>
      <c r="F1458">
        <v>6</v>
      </c>
      <c r="G1458">
        <v>10</v>
      </c>
      <c r="H1458">
        <v>9.3000000000000007</v>
      </c>
    </row>
    <row r="1459" spans="1:8" x14ac:dyDescent="0.35">
      <c r="A1459">
        <v>1457</v>
      </c>
      <c r="B1459" t="s">
        <v>2169</v>
      </c>
      <c r="C1459" t="s">
        <v>2242</v>
      </c>
      <c r="D1459" t="s">
        <v>2243</v>
      </c>
      <c r="E1459">
        <v>4.4000000000000004</v>
      </c>
      <c r="F1459">
        <v>10.9</v>
      </c>
      <c r="G1459">
        <v>16.399999999999999</v>
      </c>
      <c r="H1459">
        <v>9.8000000000000007</v>
      </c>
    </row>
    <row r="1460" spans="1:8" x14ac:dyDescent="0.35">
      <c r="A1460">
        <v>1458</v>
      </c>
      <c r="B1460" t="s">
        <v>2169</v>
      </c>
      <c r="C1460" t="s">
        <v>2244</v>
      </c>
      <c r="D1460" t="s">
        <v>2245</v>
      </c>
      <c r="E1460">
        <v>4</v>
      </c>
      <c r="F1460" t="s">
        <v>303</v>
      </c>
      <c r="G1460">
        <v>1.2</v>
      </c>
      <c r="H1460">
        <v>8.3000000000000007</v>
      </c>
    </row>
    <row r="1461" spans="1:8" x14ac:dyDescent="0.35">
      <c r="A1461">
        <v>1459</v>
      </c>
      <c r="B1461">
        <v>34.299999999999997</v>
      </c>
      <c r="C1461">
        <v>16.7</v>
      </c>
      <c r="D1461" t="s">
        <v>2169</v>
      </c>
      <c r="E1461">
        <v>7.7</v>
      </c>
      <c r="F1461">
        <v>8</v>
      </c>
      <c r="G1461">
        <v>6.8</v>
      </c>
      <c r="H1461">
        <v>9.1</v>
      </c>
    </row>
    <row r="1462" spans="1:8" x14ac:dyDescent="0.35">
      <c r="A1462">
        <v>1460</v>
      </c>
      <c r="B1462" t="s">
        <v>2169</v>
      </c>
      <c r="C1462" t="s">
        <v>2246</v>
      </c>
      <c r="D1462" t="s">
        <v>1728</v>
      </c>
      <c r="E1462">
        <v>5</v>
      </c>
      <c r="F1462" t="s">
        <v>303</v>
      </c>
      <c r="G1462">
        <v>1.2</v>
      </c>
      <c r="H1462">
        <v>10.6</v>
      </c>
    </row>
    <row r="1463" spans="1:8" x14ac:dyDescent="0.35">
      <c r="A1463">
        <v>1461</v>
      </c>
      <c r="B1463">
        <v>27.7</v>
      </c>
      <c r="C1463">
        <v>6.3</v>
      </c>
      <c r="D1463" t="s">
        <v>2169</v>
      </c>
      <c r="E1463">
        <v>9.1999999999999993</v>
      </c>
      <c r="F1463">
        <v>5.9</v>
      </c>
      <c r="G1463">
        <v>11</v>
      </c>
      <c r="H1463">
        <v>3.5</v>
      </c>
    </row>
    <row r="1464" spans="1:8" x14ac:dyDescent="0.35">
      <c r="A1464">
        <v>1462</v>
      </c>
      <c r="B1464" t="s">
        <v>2169</v>
      </c>
      <c r="C1464" t="s">
        <v>2247</v>
      </c>
      <c r="D1464" t="s">
        <v>2248</v>
      </c>
      <c r="E1464">
        <v>15</v>
      </c>
      <c r="F1464">
        <v>5.6</v>
      </c>
      <c r="G1464">
        <v>14.2</v>
      </c>
      <c r="H1464">
        <v>2.9</v>
      </c>
    </row>
    <row r="1465" spans="1:8" x14ac:dyDescent="0.35">
      <c r="A1465">
        <v>1463</v>
      </c>
      <c r="B1465" t="s">
        <v>2169</v>
      </c>
      <c r="C1465" t="s">
        <v>2249</v>
      </c>
      <c r="D1465" t="s">
        <v>2036</v>
      </c>
      <c r="E1465">
        <v>1</v>
      </c>
      <c r="F1465">
        <v>17.399999999999999</v>
      </c>
      <c r="G1465">
        <v>5.8</v>
      </c>
      <c r="H1465">
        <v>11.6</v>
      </c>
    </row>
    <row r="1466" spans="1:8" x14ac:dyDescent="0.35">
      <c r="A1466">
        <v>1464</v>
      </c>
      <c r="B1466" t="s">
        <v>2169</v>
      </c>
      <c r="C1466" t="s">
        <v>2250</v>
      </c>
      <c r="D1466" t="s">
        <v>2251</v>
      </c>
      <c r="E1466">
        <v>24.1</v>
      </c>
      <c r="F1466">
        <v>4.8</v>
      </c>
      <c r="G1466">
        <v>4.2</v>
      </c>
      <c r="H1466">
        <v>3</v>
      </c>
    </row>
    <row r="1467" spans="1:8" x14ac:dyDescent="0.35">
      <c r="A1467">
        <v>1465</v>
      </c>
      <c r="B1467" t="s">
        <v>2169</v>
      </c>
      <c r="C1467" t="s">
        <v>2252</v>
      </c>
      <c r="D1467" t="s">
        <v>1418</v>
      </c>
      <c r="E1467">
        <v>4.3</v>
      </c>
      <c r="F1467">
        <v>15.9</v>
      </c>
      <c r="G1467">
        <v>10.9</v>
      </c>
      <c r="H1467">
        <v>5.6</v>
      </c>
    </row>
    <row r="1468" spans="1:8" x14ac:dyDescent="0.35">
      <c r="A1468">
        <v>1466</v>
      </c>
      <c r="B1468" t="s">
        <v>2169</v>
      </c>
      <c r="C1468" t="s">
        <v>2253</v>
      </c>
      <c r="D1468" t="s">
        <v>2254</v>
      </c>
      <c r="E1468">
        <v>1.9</v>
      </c>
      <c r="F1468">
        <v>5.4</v>
      </c>
      <c r="G1468">
        <v>69.3</v>
      </c>
      <c r="H1468">
        <v>6.1</v>
      </c>
    </row>
    <row r="1469" spans="1:8" x14ac:dyDescent="0.35">
      <c r="A1469">
        <v>1467</v>
      </c>
      <c r="B1469" t="s">
        <v>2169</v>
      </c>
      <c r="C1469" t="s">
        <v>2255</v>
      </c>
      <c r="D1469" t="s">
        <v>2256</v>
      </c>
      <c r="E1469">
        <v>3.6</v>
      </c>
      <c r="F1469">
        <v>16.5</v>
      </c>
      <c r="G1469">
        <v>2.5</v>
      </c>
      <c r="H1469">
        <v>7.7</v>
      </c>
    </row>
    <row r="1470" spans="1:8" x14ac:dyDescent="0.35">
      <c r="A1470">
        <v>1468</v>
      </c>
      <c r="B1470" t="s">
        <v>2169</v>
      </c>
      <c r="C1470" t="s">
        <v>2257</v>
      </c>
      <c r="D1470" t="s">
        <v>2258</v>
      </c>
      <c r="E1470">
        <v>5</v>
      </c>
      <c r="F1470" t="s">
        <v>303</v>
      </c>
      <c r="G1470" t="s">
        <v>304</v>
      </c>
      <c r="H1470">
        <v>1.4</v>
      </c>
    </row>
    <row r="1471" spans="1:8" x14ac:dyDescent="0.35">
      <c r="A1471">
        <v>1469</v>
      </c>
      <c r="B1471" t="s">
        <v>2169</v>
      </c>
      <c r="C1471" t="s">
        <v>2259</v>
      </c>
      <c r="D1471" t="s">
        <v>2260</v>
      </c>
      <c r="E1471">
        <v>4</v>
      </c>
      <c r="F1471" t="s">
        <v>303</v>
      </c>
      <c r="G1471">
        <v>1.3</v>
      </c>
      <c r="H1471">
        <v>8.5</v>
      </c>
    </row>
    <row r="1472" spans="1:8" x14ac:dyDescent="0.35">
      <c r="A1472">
        <v>1470</v>
      </c>
      <c r="B1472">
        <v>31.6</v>
      </c>
      <c r="C1472">
        <v>13.7</v>
      </c>
      <c r="D1472" t="s">
        <v>2169</v>
      </c>
      <c r="E1472">
        <v>1.2</v>
      </c>
      <c r="F1472">
        <v>9.9</v>
      </c>
      <c r="G1472">
        <v>32.9</v>
      </c>
      <c r="H1472">
        <v>12.6</v>
      </c>
    </row>
    <row r="1473" spans="1:8" x14ac:dyDescent="0.35">
      <c r="A1473">
        <v>1471</v>
      </c>
      <c r="B1473" t="s">
        <v>2169</v>
      </c>
      <c r="C1473" t="s">
        <v>2261</v>
      </c>
      <c r="D1473" t="s">
        <v>2262</v>
      </c>
      <c r="E1473">
        <v>1.2</v>
      </c>
      <c r="F1473">
        <v>3.6</v>
      </c>
      <c r="G1473">
        <v>42.9</v>
      </c>
      <c r="H1473">
        <v>17.3</v>
      </c>
    </row>
    <row r="1474" spans="1:8" x14ac:dyDescent="0.35">
      <c r="A1474">
        <v>1472</v>
      </c>
      <c r="B1474" t="s">
        <v>2169</v>
      </c>
      <c r="C1474" t="s">
        <v>2263</v>
      </c>
      <c r="D1474" t="s">
        <v>2264</v>
      </c>
      <c r="E1474">
        <v>8.9</v>
      </c>
      <c r="F1474">
        <v>5.9</v>
      </c>
      <c r="G1474">
        <v>23.7</v>
      </c>
      <c r="H1474">
        <v>2</v>
      </c>
    </row>
    <row r="1475" spans="1:8" x14ac:dyDescent="0.35">
      <c r="A1475">
        <v>1473</v>
      </c>
      <c r="B1475" t="s">
        <v>2169</v>
      </c>
      <c r="C1475" t="s">
        <v>2265</v>
      </c>
      <c r="D1475" t="s">
        <v>2266</v>
      </c>
      <c r="E1475">
        <v>13</v>
      </c>
      <c r="F1475">
        <v>6</v>
      </c>
      <c r="G1475">
        <v>13.5</v>
      </c>
      <c r="H1475">
        <v>3.4</v>
      </c>
    </row>
    <row r="1476" spans="1:8" x14ac:dyDescent="0.35">
      <c r="A1476">
        <v>1474</v>
      </c>
      <c r="B1476" t="s">
        <v>2169</v>
      </c>
      <c r="C1476" t="s">
        <v>2267</v>
      </c>
      <c r="D1476" t="s">
        <v>2268</v>
      </c>
      <c r="E1476">
        <v>8.9</v>
      </c>
      <c r="F1476">
        <v>12.3</v>
      </c>
      <c r="G1476">
        <v>7.9</v>
      </c>
      <c r="H1476">
        <v>4.2</v>
      </c>
    </row>
    <row r="1477" spans="1:8" x14ac:dyDescent="0.35">
      <c r="A1477">
        <v>1475</v>
      </c>
      <c r="B1477" t="s">
        <v>2169</v>
      </c>
      <c r="C1477" t="s">
        <v>2269</v>
      </c>
      <c r="D1477" t="s">
        <v>246</v>
      </c>
      <c r="E1477">
        <v>3.6</v>
      </c>
      <c r="F1477">
        <v>7.8</v>
      </c>
      <c r="G1477">
        <v>20.6</v>
      </c>
      <c r="H1477">
        <v>7.8</v>
      </c>
    </row>
    <row r="1478" spans="1:8" x14ac:dyDescent="0.35">
      <c r="A1478">
        <v>1476</v>
      </c>
      <c r="B1478" t="s">
        <v>2169</v>
      </c>
      <c r="C1478" t="s">
        <v>2270</v>
      </c>
      <c r="D1478" t="s">
        <v>2271</v>
      </c>
      <c r="E1478">
        <v>1.4</v>
      </c>
      <c r="F1478">
        <v>13.5</v>
      </c>
      <c r="G1478">
        <v>20.3</v>
      </c>
      <c r="H1478">
        <v>7.8</v>
      </c>
    </row>
    <row r="1479" spans="1:8" x14ac:dyDescent="0.35">
      <c r="A1479">
        <v>1477</v>
      </c>
      <c r="B1479" t="s">
        <v>2169</v>
      </c>
      <c r="C1479" t="s">
        <v>2272</v>
      </c>
      <c r="D1479" t="s">
        <v>2271</v>
      </c>
      <c r="E1479">
        <v>1.3</v>
      </c>
      <c r="F1479">
        <v>8.1</v>
      </c>
      <c r="G1479">
        <v>30.1</v>
      </c>
      <c r="H1479">
        <v>3</v>
      </c>
    </row>
    <row r="1480" spans="1:8" x14ac:dyDescent="0.35">
      <c r="A1480">
        <v>1478</v>
      </c>
      <c r="B1480" t="s">
        <v>2169</v>
      </c>
      <c r="C1480" t="s">
        <v>2273</v>
      </c>
      <c r="D1480" t="s">
        <v>373</v>
      </c>
      <c r="E1480">
        <v>2</v>
      </c>
      <c r="F1480">
        <v>14.1</v>
      </c>
      <c r="G1480">
        <v>12.4</v>
      </c>
      <c r="H1480">
        <v>7.9</v>
      </c>
    </row>
    <row r="1481" spans="1:8" x14ac:dyDescent="0.35">
      <c r="A1481">
        <v>1479</v>
      </c>
      <c r="B1481" t="s">
        <v>2169</v>
      </c>
      <c r="C1481" t="s">
        <v>2274</v>
      </c>
      <c r="D1481" t="s">
        <v>2275</v>
      </c>
      <c r="E1481">
        <v>2.2000000000000002</v>
      </c>
      <c r="F1481">
        <v>14.4</v>
      </c>
      <c r="G1481">
        <v>16.7</v>
      </c>
      <c r="H1481">
        <v>7.1</v>
      </c>
    </row>
    <row r="1482" spans="1:8" x14ac:dyDescent="0.35">
      <c r="A1482">
        <v>1480</v>
      </c>
      <c r="B1482" t="s">
        <v>2169</v>
      </c>
      <c r="C1482" t="s">
        <v>2276</v>
      </c>
      <c r="D1482" t="s">
        <v>2277</v>
      </c>
      <c r="E1482">
        <v>1.5</v>
      </c>
      <c r="F1482">
        <v>10.9</v>
      </c>
      <c r="G1482">
        <v>23.2</v>
      </c>
      <c r="H1482">
        <v>7.5</v>
      </c>
    </row>
    <row r="1483" spans="1:8" x14ac:dyDescent="0.35">
      <c r="A1483">
        <v>1481</v>
      </c>
      <c r="B1483" t="s">
        <v>2169</v>
      </c>
      <c r="C1483" t="s">
        <v>2278</v>
      </c>
      <c r="D1483" t="s">
        <v>2279</v>
      </c>
      <c r="E1483">
        <v>4.5</v>
      </c>
      <c r="F1483">
        <v>6.3</v>
      </c>
      <c r="G1483">
        <v>30</v>
      </c>
      <c r="H1483">
        <v>4.9000000000000004</v>
      </c>
    </row>
    <row r="1484" spans="1:8" x14ac:dyDescent="0.35">
      <c r="A1484">
        <v>1482</v>
      </c>
      <c r="B1484" t="s">
        <v>2169</v>
      </c>
      <c r="C1484" t="s">
        <v>2280</v>
      </c>
      <c r="D1484" t="s">
        <v>2281</v>
      </c>
      <c r="E1484">
        <v>6.9</v>
      </c>
      <c r="F1484">
        <v>7.6</v>
      </c>
      <c r="G1484">
        <v>16.2</v>
      </c>
      <c r="H1484">
        <v>6.4</v>
      </c>
    </row>
    <row r="1485" spans="1:8" x14ac:dyDescent="0.35">
      <c r="A1485">
        <v>1483</v>
      </c>
      <c r="B1485" t="s">
        <v>2169</v>
      </c>
      <c r="C1485" t="s">
        <v>2282</v>
      </c>
      <c r="D1485" t="s">
        <v>2283</v>
      </c>
      <c r="E1485">
        <v>14.3</v>
      </c>
      <c r="F1485">
        <v>7.2</v>
      </c>
      <c r="G1485">
        <v>3.2</v>
      </c>
      <c r="H1485">
        <v>2.5</v>
      </c>
    </row>
    <row r="1486" spans="1:8" x14ac:dyDescent="0.35">
      <c r="A1486">
        <v>1484</v>
      </c>
      <c r="B1486" t="s">
        <v>2169</v>
      </c>
      <c r="C1486" t="s">
        <v>2284</v>
      </c>
      <c r="D1486" t="s">
        <v>2285</v>
      </c>
      <c r="E1486">
        <v>4.2</v>
      </c>
      <c r="F1486">
        <v>9.9</v>
      </c>
      <c r="G1486">
        <v>27</v>
      </c>
      <c r="H1486">
        <v>9.1</v>
      </c>
    </row>
    <row r="1487" spans="1:8" x14ac:dyDescent="0.35">
      <c r="A1487">
        <v>1485</v>
      </c>
      <c r="B1487" t="s">
        <v>2169</v>
      </c>
      <c r="C1487" t="s">
        <v>2286</v>
      </c>
      <c r="D1487" t="s">
        <v>2287</v>
      </c>
      <c r="E1487">
        <v>11.3</v>
      </c>
      <c r="F1487">
        <v>8.1</v>
      </c>
      <c r="G1487">
        <v>6.6</v>
      </c>
      <c r="H1487">
        <v>3</v>
      </c>
    </row>
    <row r="1488" spans="1:8" x14ac:dyDescent="0.35">
      <c r="A1488">
        <v>1486</v>
      </c>
      <c r="B1488" t="s">
        <v>2169</v>
      </c>
      <c r="C1488" t="s">
        <v>2288</v>
      </c>
      <c r="D1488" t="s">
        <v>2289</v>
      </c>
      <c r="E1488">
        <v>12.2</v>
      </c>
      <c r="F1488">
        <v>6.2</v>
      </c>
      <c r="G1488">
        <v>6.4</v>
      </c>
      <c r="H1488">
        <v>8.6</v>
      </c>
    </row>
    <row r="1489" spans="1:8" x14ac:dyDescent="0.35">
      <c r="A1489">
        <v>1487</v>
      </c>
      <c r="B1489" t="s">
        <v>2169</v>
      </c>
      <c r="C1489" t="s">
        <v>2290</v>
      </c>
      <c r="D1489" t="s">
        <v>29</v>
      </c>
      <c r="E1489">
        <v>11.4</v>
      </c>
      <c r="F1489">
        <v>2.2999999999999998</v>
      </c>
      <c r="G1489">
        <v>15.1</v>
      </c>
      <c r="H1489">
        <v>8.9</v>
      </c>
    </row>
    <row r="1490" spans="1:8" x14ac:dyDescent="0.35">
      <c r="A1490">
        <v>1488</v>
      </c>
      <c r="B1490" t="s">
        <v>2169</v>
      </c>
      <c r="C1490" t="s">
        <v>2291</v>
      </c>
      <c r="D1490" t="s">
        <v>2292</v>
      </c>
      <c r="E1490">
        <v>6.1</v>
      </c>
      <c r="F1490">
        <v>8.4</v>
      </c>
      <c r="G1490">
        <v>20.2</v>
      </c>
      <c r="H1490">
        <v>5.6</v>
      </c>
    </row>
    <row r="1491" spans="1:8" x14ac:dyDescent="0.35">
      <c r="A1491">
        <v>1489</v>
      </c>
      <c r="B1491" t="s">
        <v>2169</v>
      </c>
      <c r="C1491" t="s">
        <v>2293</v>
      </c>
      <c r="D1491" t="s">
        <v>2294</v>
      </c>
      <c r="E1491">
        <v>1.8</v>
      </c>
      <c r="F1491">
        <v>9.8000000000000007</v>
      </c>
      <c r="G1491">
        <v>32.9</v>
      </c>
      <c r="H1491">
        <v>10.4</v>
      </c>
    </row>
    <row r="1492" spans="1:8" x14ac:dyDescent="0.35">
      <c r="A1492">
        <v>1490</v>
      </c>
      <c r="B1492" t="s">
        <v>2169</v>
      </c>
      <c r="C1492" t="s">
        <v>2295</v>
      </c>
      <c r="D1492" t="s">
        <v>2296</v>
      </c>
      <c r="E1492">
        <v>2.1</v>
      </c>
      <c r="F1492">
        <v>5.5</v>
      </c>
      <c r="G1492">
        <v>29.4</v>
      </c>
      <c r="H1492">
        <v>23.1</v>
      </c>
    </row>
    <row r="1493" spans="1:8" x14ac:dyDescent="0.35">
      <c r="A1493">
        <v>1491</v>
      </c>
      <c r="B1493" t="s">
        <v>2169</v>
      </c>
      <c r="C1493" t="s">
        <v>2297</v>
      </c>
      <c r="D1493" t="s">
        <v>2298</v>
      </c>
      <c r="E1493">
        <v>5</v>
      </c>
      <c r="F1493">
        <v>8.1</v>
      </c>
      <c r="G1493">
        <v>15.2</v>
      </c>
      <c r="H1493">
        <v>10.9</v>
      </c>
    </row>
    <row r="1494" spans="1:8" x14ac:dyDescent="0.35">
      <c r="A1494">
        <v>1492</v>
      </c>
      <c r="B1494" t="s">
        <v>2169</v>
      </c>
      <c r="C1494" t="s">
        <v>2299</v>
      </c>
      <c r="D1494" t="s">
        <v>2300</v>
      </c>
      <c r="E1494">
        <v>17.100000000000001</v>
      </c>
      <c r="F1494">
        <v>6.4</v>
      </c>
      <c r="G1494">
        <v>4.2</v>
      </c>
      <c r="H1494">
        <v>14.1</v>
      </c>
    </row>
    <row r="1495" spans="1:8" x14ac:dyDescent="0.35">
      <c r="A1495">
        <v>1493</v>
      </c>
      <c r="B1495" t="s">
        <v>2169</v>
      </c>
      <c r="C1495" t="s">
        <v>2301</v>
      </c>
      <c r="D1495" t="s">
        <v>2302</v>
      </c>
      <c r="E1495">
        <v>5.4</v>
      </c>
      <c r="F1495">
        <v>5.4</v>
      </c>
      <c r="G1495">
        <v>44.3</v>
      </c>
      <c r="H1495">
        <v>5.8</v>
      </c>
    </row>
    <row r="1496" spans="1:8" x14ac:dyDescent="0.35">
      <c r="A1496">
        <v>1494</v>
      </c>
      <c r="B1496" t="s">
        <v>2169</v>
      </c>
      <c r="C1496" t="s">
        <v>2303</v>
      </c>
      <c r="D1496" t="s">
        <v>579</v>
      </c>
      <c r="E1496">
        <v>5</v>
      </c>
      <c r="F1496" t="s">
        <v>303</v>
      </c>
      <c r="G1496">
        <v>6.6</v>
      </c>
      <c r="H1496">
        <v>7.2</v>
      </c>
    </row>
    <row r="1497" spans="1:8" x14ac:dyDescent="0.35">
      <c r="A1497">
        <v>1495</v>
      </c>
      <c r="B1497">
        <v>7.6</v>
      </c>
      <c r="C1497">
        <v>6.4</v>
      </c>
      <c r="D1497" t="s">
        <v>2169</v>
      </c>
      <c r="E1497">
        <v>7.1</v>
      </c>
      <c r="F1497">
        <v>11.4</v>
      </c>
      <c r="G1497">
        <v>5.4</v>
      </c>
      <c r="H1497">
        <v>10.6</v>
      </c>
    </row>
    <row r="1498" spans="1:8" x14ac:dyDescent="0.35">
      <c r="A1498">
        <v>1496</v>
      </c>
      <c r="B1498" t="s">
        <v>2169</v>
      </c>
      <c r="C1498" t="s">
        <v>2304</v>
      </c>
      <c r="D1498" t="s">
        <v>149</v>
      </c>
      <c r="E1498">
        <v>4.2</v>
      </c>
      <c r="F1498">
        <v>9.4</v>
      </c>
      <c r="G1498">
        <v>25.2</v>
      </c>
      <c r="H1498">
        <v>9.8000000000000007</v>
      </c>
    </row>
    <row r="1499" spans="1:8" x14ac:dyDescent="0.35">
      <c r="A1499">
        <v>1497</v>
      </c>
      <c r="B1499" t="s">
        <v>2169</v>
      </c>
      <c r="C1499" t="s">
        <v>2305</v>
      </c>
      <c r="D1499" t="s">
        <v>2306</v>
      </c>
      <c r="E1499">
        <v>3</v>
      </c>
      <c r="F1499">
        <v>5.6</v>
      </c>
      <c r="G1499">
        <v>6.5</v>
      </c>
      <c r="H1499">
        <v>1.6</v>
      </c>
    </row>
    <row r="1500" spans="1:8" x14ac:dyDescent="0.35">
      <c r="A1500">
        <v>1498</v>
      </c>
      <c r="B1500" t="s">
        <v>2169</v>
      </c>
      <c r="C1500" t="s">
        <v>2307</v>
      </c>
      <c r="D1500" t="s">
        <v>2308</v>
      </c>
      <c r="E1500">
        <v>7.4</v>
      </c>
      <c r="F1500">
        <v>7.5</v>
      </c>
      <c r="G1500">
        <v>4.5999999999999996</v>
      </c>
      <c r="H1500">
        <v>11.6</v>
      </c>
    </row>
    <row r="1501" spans="1:8" x14ac:dyDescent="0.35">
      <c r="A1501">
        <v>1499</v>
      </c>
      <c r="B1501" t="s">
        <v>2169</v>
      </c>
      <c r="C1501" t="s">
        <v>2309</v>
      </c>
      <c r="D1501" t="s">
        <v>2310</v>
      </c>
      <c r="E1501">
        <v>2.4</v>
      </c>
      <c r="F1501">
        <v>1.9</v>
      </c>
      <c r="G1501">
        <v>41.5</v>
      </c>
      <c r="H1501">
        <v>5.7</v>
      </c>
    </row>
    <row r="1502" spans="1:8" x14ac:dyDescent="0.35">
      <c r="A1502">
        <v>1500</v>
      </c>
      <c r="B1502" t="s">
        <v>2169</v>
      </c>
      <c r="C1502" t="s">
        <v>2311</v>
      </c>
      <c r="D1502" t="s">
        <v>2312</v>
      </c>
      <c r="E1502">
        <v>5.9</v>
      </c>
      <c r="F1502">
        <v>9.5</v>
      </c>
      <c r="G1502">
        <v>12.8</v>
      </c>
      <c r="H1502">
        <v>3.3</v>
      </c>
    </row>
    <row r="1503" spans="1:8" x14ac:dyDescent="0.35">
      <c r="A1503">
        <v>1501</v>
      </c>
      <c r="B1503" t="s">
        <v>2169</v>
      </c>
      <c r="C1503" t="s">
        <v>2313</v>
      </c>
      <c r="D1503" t="s">
        <v>2314</v>
      </c>
      <c r="E1503">
        <v>1.3</v>
      </c>
      <c r="F1503">
        <v>12.7</v>
      </c>
      <c r="G1503">
        <v>14.9</v>
      </c>
      <c r="H1503">
        <v>7.3</v>
      </c>
    </row>
    <row r="1504" spans="1:8" x14ac:dyDescent="0.35">
      <c r="A1504">
        <v>1502</v>
      </c>
      <c r="B1504" t="s">
        <v>2169</v>
      </c>
      <c r="C1504" t="s">
        <v>2315</v>
      </c>
      <c r="D1504" t="s">
        <v>1708</v>
      </c>
      <c r="E1504">
        <v>4.4000000000000004</v>
      </c>
      <c r="F1504">
        <v>5.7</v>
      </c>
      <c r="G1504">
        <v>8.1</v>
      </c>
      <c r="H1504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Gyaneshwar Kumar</dc:creator>
  <cp:lastModifiedBy>Gyaneshwar Kumar</cp:lastModifiedBy>
  <dcterms:created xsi:type="dcterms:W3CDTF">2026-09-16T09:50:24Z</dcterms:created>
  <dcterms:modified xsi:type="dcterms:W3CDTF">2026-09-16T09:52:46Z</dcterms:modified>
</cp:coreProperties>
</file>